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https://niuitmo-my.sharepoint.com/personal/467959_niuitmo_ru/Documents/ИТМО/Информатика/Лабы/lab 5/"/>
    </mc:Choice>
  </mc:AlternateContent>
  <xr:revisionPtr revIDLastSave="1138" documentId="8_{B088B113-BDE8-7943-A30D-113B45388EDD}" xr6:coauthVersionLast="47" xr6:coauthVersionMax="47" xr10:uidLastSave="{E7900D1F-BD28-9A42-AFFB-D260A39EE0D9}"/>
  <bookViews>
    <workbookView xWindow="0" yWindow="500" windowWidth="28800" windowHeight="17500" xr2:uid="{B918FA82-8751-3548-9079-728970634589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8" i="1" l="1"/>
  <c r="N38" i="1"/>
  <c r="L38" i="1"/>
  <c r="F4" i="1"/>
  <c r="Y52" i="1"/>
  <c r="Y47" i="1"/>
  <c r="Y42" i="1"/>
  <c r="Y37" i="1"/>
  <c r="Y32" i="1"/>
  <c r="Y27" i="1"/>
  <c r="Y22" i="1"/>
  <c r="H21" i="1"/>
  <c r="F8" i="1"/>
  <c r="F14" i="1" s="1"/>
  <c r="Z50" i="1" s="1"/>
  <c r="F7" i="1"/>
  <c r="F13" i="1" s="1"/>
  <c r="F6" i="1"/>
  <c r="F5" i="1"/>
  <c r="H5" i="1" a="1"/>
  <c r="H7" i="1" a="1"/>
  <c r="H14" i="1" a="1"/>
  <c r="H6" i="1" a="1"/>
  <c r="H4" i="1" a="1"/>
  <c r="H8" i="1" a="1"/>
  <c r="H13" i="1" a="1"/>
  <c r="F11" i="1" l="1"/>
  <c r="Z21" i="1"/>
  <c r="Z30" i="1"/>
  <c r="Z25" i="1"/>
  <c r="F10" i="1"/>
  <c r="Z45" i="1"/>
  <c r="Z20" i="1"/>
  <c r="F12" i="1"/>
  <c r="Z26" i="1"/>
  <c r="Z51" i="1"/>
  <c r="H6" i="1"/>
  <c r="H8" i="1"/>
  <c r="H7" i="1"/>
  <c r="H14" i="1"/>
  <c r="H13" i="1"/>
  <c r="H5" i="1"/>
  <c r="H4" i="1"/>
  <c r="F9" i="1"/>
  <c r="H11" i="1" a="1"/>
  <c r="J5" i="1" a="1"/>
  <c r="O5" i="1" a="1"/>
  <c r="V5" i="1" a="1"/>
  <c r="N5" i="1" a="1"/>
  <c r="R5" i="1" a="1"/>
  <c r="I5" i="1" a="1"/>
  <c r="X5" i="1" a="1"/>
  <c r="L5" i="1" a="1"/>
  <c r="K5" i="1" a="1"/>
  <c r="Q5" i="1" a="1"/>
  <c r="P5" i="1" a="1"/>
  <c r="S5" i="1" a="1"/>
  <c r="T5" i="1" a="1"/>
  <c r="W5" i="1" a="1"/>
  <c r="U5" i="1" a="1"/>
  <c r="M5" i="1" a="1"/>
  <c r="H10" i="1" a="1"/>
  <c r="Q7" i="1" a="1"/>
  <c r="U8" i="1" a="1"/>
  <c r="J13" i="1" a="1"/>
  <c r="U13" i="1" a="1"/>
  <c r="M6" i="1" a="1"/>
  <c r="T13" i="1" a="1"/>
  <c r="S6" i="1" a="1"/>
  <c r="V14" i="1" a="1"/>
  <c r="N4" i="1" a="1"/>
  <c r="Q8" i="1" a="1"/>
  <c r="J6" i="1" a="1"/>
  <c r="S14" i="1" a="1"/>
  <c r="H12" i="1" a="1"/>
  <c r="R6" i="1" a="1"/>
  <c r="X14" i="1" a="1"/>
  <c r="K6" i="1" a="1"/>
  <c r="Q13" i="1" a="1"/>
  <c r="T4" i="1" a="1"/>
  <c r="W8" i="1" a="1"/>
  <c r="O13" i="1" a="1"/>
  <c r="L13" i="1" a="1"/>
  <c r="K8" i="1" a="1"/>
  <c r="N6" i="1" a="1"/>
  <c r="L8" i="1" a="1"/>
  <c r="L7" i="1" a="1"/>
  <c r="I4" i="1" a="1"/>
  <c r="N13" i="1" a="1"/>
  <c r="K14" i="1" a="1"/>
  <c r="Q6" i="1" a="1"/>
  <c r="U4" i="1" a="1"/>
  <c r="M4" i="1" a="1"/>
  <c r="U7" i="1" a="1"/>
  <c r="K7" i="1" a="1"/>
  <c r="S4" i="1" a="1"/>
  <c r="N14" i="1" a="1"/>
  <c r="U14" i="1" a="1"/>
  <c r="L14" i="1" a="1"/>
  <c r="S7" i="1" a="1"/>
  <c r="J14" i="1" a="1"/>
  <c r="T7" i="1" a="1"/>
  <c r="J4" i="1" a="1"/>
  <c r="V6" i="1" a="1"/>
  <c r="P8" i="1" a="1"/>
  <c r="J8" i="1" a="1"/>
  <c r="M8" i="1" a="1"/>
  <c r="O4" i="1" a="1"/>
  <c r="T14" i="1" a="1"/>
  <c r="P7" i="1" a="1"/>
  <c r="U6" i="1" a="1"/>
  <c r="R8" i="1" a="1"/>
  <c r="L4" i="1" a="1"/>
  <c r="T8" i="1" a="1"/>
  <c r="W7" i="1" a="1"/>
  <c r="R14" i="1" a="1"/>
  <c r="V4" i="1" a="1"/>
  <c r="K13" i="1" a="1"/>
  <c r="R7" i="1" a="1"/>
  <c r="I7" i="1" a="1"/>
  <c r="S8" i="1" a="1"/>
  <c r="T6" i="1" a="1"/>
  <c r="P13" i="1" a="1"/>
  <c r="K4" i="1" a="1"/>
  <c r="M7" i="1" a="1"/>
  <c r="W4" i="1" a="1"/>
  <c r="X7" i="1" a="1"/>
  <c r="V13" i="1" a="1"/>
  <c r="H9" i="1" a="1"/>
  <c r="I13" i="1" a="1"/>
  <c r="W6" i="1" a="1"/>
  <c r="R4" i="1" a="1"/>
  <c r="W14" i="1" a="1"/>
  <c r="M14" i="1" a="1"/>
  <c r="R13" i="1" a="1"/>
  <c r="O8" i="1" a="1"/>
  <c r="O6" i="1" a="1"/>
  <c r="W13" i="1" a="1"/>
  <c r="I8" i="1" a="1"/>
  <c r="V7" i="1" a="1"/>
  <c r="N8" i="1" a="1"/>
  <c r="X8" i="1" a="1"/>
  <c r="S13" i="1" a="1"/>
  <c r="I6" i="1" a="1"/>
  <c r="X4" i="1" a="1"/>
  <c r="O7" i="1" a="1"/>
  <c r="L6" i="1" a="1"/>
  <c r="Q4" i="1" a="1"/>
  <c r="P4" i="1" a="1"/>
  <c r="P6" i="1" a="1"/>
  <c r="P14" i="1" a="1"/>
  <c r="X6" i="1" a="1"/>
  <c r="O14" i="1" a="1"/>
  <c r="J7" i="1" a="1"/>
  <c r="M13" i="1" a="1"/>
  <c r="V8" i="1" a="1"/>
  <c r="Q14" i="1" a="1"/>
  <c r="N7" i="1" a="1"/>
  <c r="X13" i="1" a="1"/>
  <c r="I14" i="1" a="1"/>
  <c r="H11" i="1" l="1"/>
  <c r="Z46" i="1"/>
  <c r="Z40" i="1"/>
  <c r="Z36" i="1"/>
  <c r="H12" i="1"/>
  <c r="H10" i="1"/>
  <c r="Z41" i="1"/>
  <c r="Z35" i="1"/>
  <c r="Z31" i="1"/>
  <c r="I4" i="1"/>
  <c r="M6" i="1"/>
  <c r="I5" i="1"/>
  <c r="I30" i="1" s="1"/>
  <c r="P5" i="1"/>
  <c r="P30" i="1" s="1"/>
  <c r="S5" i="1"/>
  <c r="S30" i="1" s="1"/>
  <c r="V5" i="1"/>
  <c r="V30" i="1" s="1"/>
  <c r="J5" i="1"/>
  <c r="J30" i="1" s="1"/>
  <c r="N5" i="1"/>
  <c r="N30" i="1" s="1"/>
  <c r="R5" i="1"/>
  <c r="R30" i="1" s="1"/>
  <c r="W5" i="1"/>
  <c r="W30" i="1" s="1"/>
  <c r="K5" i="1"/>
  <c r="K30" i="1" s="1"/>
  <c r="O5" i="1"/>
  <c r="O30" i="1" s="1"/>
  <c r="T5" i="1"/>
  <c r="T30" i="1" s="1"/>
  <c r="X5" i="1"/>
  <c r="X30" i="1" s="1"/>
  <c r="L5" i="1"/>
  <c r="L30" i="1" s="1"/>
  <c r="M5" i="1"/>
  <c r="M30" i="1" s="1"/>
  <c r="Q5" i="1"/>
  <c r="Q30" i="1" s="1"/>
  <c r="U5" i="1"/>
  <c r="U30" i="1" s="1"/>
  <c r="J6" i="1"/>
  <c r="T6" i="1"/>
  <c r="W6" i="1"/>
  <c r="L6" i="1"/>
  <c r="P6" i="1"/>
  <c r="Q6" i="1"/>
  <c r="U6" i="1"/>
  <c r="I6" i="1"/>
  <c r="N6" i="1"/>
  <c r="R6" i="1"/>
  <c r="V6" i="1"/>
  <c r="O6" i="1"/>
  <c r="S6" i="1"/>
  <c r="X6" i="1"/>
  <c r="K6" i="1"/>
  <c r="J14" i="1"/>
  <c r="J50" i="1" s="1"/>
  <c r="M14" i="1"/>
  <c r="M50" i="1" s="1"/>
  <c r="T14" i="1"/>
  <c r="T50" i="1" s="1"/>
  <c r="W14" i="1"/>
  <c r="W50" i="1" s="1"/>
  <c r="I14" i="1"/>
  <c r="I50" i="1" s="1"/>
  <c r="N14" i="1"/>
  <c r="N50" i="1" s="1"/>
  <c r="R14" i="1"/>
  <c r="R50" i="1" s="1"/>
  <c r="V14" i="1"/>
  <c r="V50" i="1" s="1"/>
  <c r="K14" i="1"/>
  <c r="K50" i="1" s="1"/>
  <c r="O14" i="1"/>
  <c r="O50" i="1" s="1"/>
  <c r="S14" i="1"/>
  <c r="S50" i="1" s="1"/>
  <c r="X14" i="1"/>
  <c r="X50" i="1" s="1"/>
  <c r="L14" i="1"/>
  <c r="L50" i="1" s="1"/>
  <c r="P14" i="1"/>
  <c r="P50" i="1" s="1"/>
  <c r="U14" i="1"/>
  <c r="U50" i="1" s="1"/>
  <c r="Q14" i="1"/>
  <c r="Q50" i="1" s="1"/>
  <c r="J4" i="1"/>
  <c r="M4" i="1"/>
  <c r="T4" i="1"/>
  <c r="W4" i="1"/>
  <c r="K4" i="1"/>
  <c r="N4" i="1"/>
  <c r="X4" i="1"/>
  <c r="X20" i="1" s="1"/>
  <c r="L4" i="1"/>
  <c r="O4" i="1"/>
  <c r="R4" i="1"/>
  <c r="P4" i="1"/>
  <c r="S4" i="1"/>
  <c r="V4" i="1"/>
  <c r="Q4" i="1"/>
  <c r="U4" i="1"/>
  <c r="I13" i="1"/>
  <c r="P13" i="1"/>
  <c r="S13" i="1"/>
  <c r="V13" i="1"/>
  <c r="L13" i="1"/>
  <c r="M13" i="1"/>
  <c r="Q13" i="1"/>
  <c r="U13" i="1"/>
  <c r="J13" i="1"/>
  <c r="N13" i="1"/>
  <c r="R13" i="1"/>
  <c r="W13" i="1"/>
  <c r="O13" i="1"/>
  <c r="T13" i="1"/>
  <c r="K13" i="1"/>
  <c r="X13" i="1"/>
  <c r="K7" i="1"/>
  <c r="N7" i="1"/>
  <c r="Q7" i="1"/>
  <c r="X7" i="1"/>
  <c r="I7" i="1"/>
  <c r="M7" i="1"/>
  <c r="R7" i="1"/>
  <c r="V7" i="1"/>
  <c r="J7" i="1"/>
  <c r="O7" i="1"/>
  <c r="S7" i="1"/>
  <c r="W7" i="1"/>
  <c r="L7" i="1"/>
  <c r="P7" i="1"/>
  <c r="T7" i="1"/>
  <c r="U7" i="1"/>
  <c r="L8" i="1"/>
  <c r="O8" i="1"/>
  <c r="R8" i="1"/>
  <c r="U8" i="1"/>
  <c r="K8" i="1"/>
  <c r="P8" i="1"/>
  <c r="T8" i="1"/>
  <c r="X8" i="1"/>
  <c r="I8" i="1"/>
  <c r="M8" i="1"/>
  <c r="Q8" i="1"/>
  <c r="V8" i="1"/>
  <c r="S8" i="1"/>
  <c r="W8" i="1"/>
  <c r="J8" i="1"/>
  <c r="N8" i="1"/>
  <c r="H9" i="1"/>
  <c r="F15" i="1"/>
  <c r="I11" i="1" a="1"/>
  <c r="M11" i="1" a="1"/>
  <c r="S11" i="1" a="1"/>
  <c r="J11" i="1" a="1"/>
  <c r="Q11" i="1" a="1"/>
  <c r="P11" i="1" a="1"/>
  <c r="V11" i="1" a="1"/>
  <c r="X11" i="1" a="1"/>
  <c r="L11" i="1" a="1"/>
  <c r="U11" i="1" a="1"/>
  <c r="W11" i="1" a="1"/>
  <c r="N11" i="1" a="1"/>
  <c r="K11" i="1" a="1"/>
  <c r="O11" i="1" a="1"/>
  <c r="T11" i="1" a="1"/>
  <c r="R11" i="1" a="1"/>
  <c r="N12" i="1" a="1"/>
  <c r="M12" i="1" a="1"/>
  <c r="N10" i="1" a="1"/>
  <c r="O10" i="1" a="1"/>
  <c r="K9" i="1" a="1"/>
  <c r="O9" i="1" a="1"/>
  <c r="R12" i="1" a="1"/>
  <c r="X12" i="1" a="1"/>
  <c r="M10" i="1" a="1"/>
  <c r="L10" i="1" a="1"/>
  <c r="S9" i="1" a="1"/>
  <c r="U9" i="1" a="1"/>
  <c r="U10" i="1" a="1"/>
  <c r="R9" i="1" a="1"/>
  <c r="I12" i="1" a="1"/>
  <c r="K10" i="1" a="1"/>
  <c r="P9" i="1" a="1"/>
  <c r="S10" i="1" a="1"/>
  <c r="X9" i="1" a="1"/>
  <c r="Q12" i="1" a="1"/>
  <c r="V10" i="1" a="1"/>
  <c r="V9" i="1" a="1"/>
  <c r="P12" i="1" a="1"/>
  <c r="W9" i="1" a="1"/>
  <c r="O12" i="1" a="1"/>
  <c r="Q10" i="1" a="1"/>
  <c r="Q9" i="1" a="1"/>
  <c r="L9" i="1" a="1"/>
  <c r="U12" i="1" a="1"/>
  <c r="S12" i="1" a="1"/>
  <c r="J10" i="1" a="1"/>
  <c r="H15" i="1" a="1"/>
  <c r="W12" i="1" a="1"/>
  <c r="X10" i="1" a="1"/>
  <c r="T9" i="1" a="1"/>
  <c r="V12" i="1" a="1"/>
  <c r="R10" i="1" a="1"/>
  <c r="J9" i="1" a="1"/>
  <c r="K12" i="1" a="1"/>
  <c r="T10" i="1" a="1"/>
  <c r="M9" i="1" a="1"/>
  <c r="L12" i="1" a="1"/>
  <c r="W10" i="1" a="1"/>
  <c r="I10" i="1" a="1"/>
  <c r="N9" i="1" a="1"/>
  <c r="T12" i="1" a="1"/>
  <c r="P10" i="1" a="1"/>
  <c r="I9" i="1" a="1"/>
  <c r="J12" i="1" a="1"/>
  <c r="R11" i="1" l="1"/>
  <c r="T11" i="1"/>
  <c r="O11" i="1"/>
  <c r="K11" i="1"/>
  <c r="K40" i="1" s="1"/>
  <c r="N11" i="1"/>
  <c r="N36" i="1" s="1"/>
  <c r="W11" i="1"/>
  <c r="W40" i="1" s="1"/>
  <c r="U11" i="1"/>
  <c r="L11" i="1"/>
  <c r="L40" i="1" s="1"/>
  <c r="X11" i="1"/>
  <c r="V11" i="1"/>
  <c r="P11" i="1"/>
  <c r="P40" i="1" s="1"/>
  <c r="Q11" i="1"/>
  <c r="Q46" i="1" s="1"/>
  <c r="J11" i="1"/>
  <c r="J36" i="1" s="1"/>
  <c r="S11" i="1"/>
  <c r="S36" i="1" s="1"/>
  <c r="M11" i="1"/>
  <c r="I11" i="1"/>
  <c r="I36" i="1" s="1"/>
  <c r="I10" i="1"/>
  <c r="T10" i="1"/>
  <c r="R10" i="1"/>
  <c r="R31" i="1" s="1"/>
  <c r="X10" i="1"/>
  <c r="X35" i="1" s="1"/>
  <c r="U10" i="1"/>
  <c r="U35" i="1" s="1"/>
  <c r="L10" i="1"/>
  <c r="L31" i="1" s="1"/>
  <c r="O10" i="1"/>
  <c r="O35" i="1" s="1"/>
  <c r="Q10" i="1"/>
  <c r="Q35" i="1" s="1"/>
  <c r="W10" i="1"/>
  <c r="V10" i="1"/>
  <c r="S10" i="1"/>
  <c r="S31" i="1" s="1"/>
  <c r="K10" i="1"/>
  <c r="J10" i="1"/>
  <c r="J35" i="1" s="1"/>
  <c r="M10" i="1"/>
  <c r="M31" i="1" s="1"/>
  <c r="N10" i="1"/>
  <c r="N31" i="1" s="1"/>
  <c r="P10" i="1"/>
  <c r="P35" i="1" s="1"/>
  <c r="P12" i="1"/>
  <c r="P41" i="1" s="1"/>
  <c r="K12" i="1"/>
  <c r="K41" i="1" s="1"/>
  <c r="J12" i="1"/>
  <c r="J41" i="1" s="1"/>
  <c r="W12" i="1"/>
  <c r="W41" i="1" s="1"/>
  <c r="S12" i="1"/>
  <c r="S41" i="1" s="1"/>
  <c r="X12" i="1"/>
  <c r="X41" i="1" s="1"/>
  <c r="M12" i="1"/>
  <c r="M41" i="1" s="1"/>
  <c r="O12" i="1"/>
  <c r="O41" i="1" s="1"/>
  <c r="L12" i="1"/>
  <c r="L41" i="1" s="1"/>
  <c r="Q12" i="1"/>
  <c r="Q41" i="1" s="1"/>
  <c r="V12" i="1"/>
  <c r="V41" i="1" s="1"/>
  <c r="I12" i="1"/>
  <c r="I41" i="1" s="1"/>
  <c r="U12" i="1"/>
  <c r="U41" i="1" s="1"/>
  <c r="R12" i="1"/>
  <c r="R41" i="1" s="1"/>
  <c r="N12" i="1"/>
  <c r="N41" i="1" s="1"/>
  <c r="T12" i="1"/>
  <c r="T41" i="1" s="1"/>
  <c r="I9" i="1"/>
  <c r="P9" i="1"/>
  <c r="S9" i="1"/>
  <c r="V9" i="1"/>
  <c r="M9" i="1"/>
  <c r="Q9" i="1"/>
  <c r="U9" i="1"/>
  <c r="J9" i="1"/>
  <c r="N9" i="1"/>
  <c r="R9" i="1"/>
  <c r="W9" i="1"/>
  <c r="K9" i="1"/>
  <c r="O9" i="1"/>
  <c r="T9" i="1"/>
  <c r="X9" i="1"/>
  <c r="L9" i="1"/>
  <c r="I45" i="1"/>
  <c r="I20" i="1"/>
  <c r="L20" i="1"/>
  <c r="L45" i="1"/>
  <c r="J31" i="1"/>
  <c r="U45" i="1"/>
  <c r="U20" i="1"/>
  <c r="K45" i="1"/>
  <c r="K20" i="1"/>
  <c r="T31" i="1"/>
  <c r="T35" i="1"/>
  <c r="R45" i="1"/>
  <c r="R20" i="1"/>
  <c r="W45" i="1"/>
  <c r="W20" i="1"/>
  <c r="O45" i="1"/>
  <c r="O20" i="1"/>
  <c r="T45" i="1"/>
  <c r="T20" i="1"/>
  <c r="I31" i="1"/>
  <c r="I35" i="1"/>
  <c r="P20" i="1"/>
  <c r="P45" i="1"/>
  <c r="X45" i="1"/>
  <c r="M45" i="1"/>
  <c r="M20" i="1"/>
  <c r="V20" i="1"/>
  <c r="V45" i="1"/>
  <c r="J45" i="1"/>
  <c r="J20" i="1"/>
  <c r="N35" i="1"/>
  <c r="S45" i="1"/>
  <c r="S20" i="1"/>
  <c r="Q45" i="1"/>
  <c r="Q20" i="1"/>
  <c r="V35" i="1"/>
  <c r="V31" i="1"/>
  <c r="K35" i="1"/>
  <c r="K31" i="1"/>
  <c r="N45" i="1"/>
  <c r="N20" i="1"/>
  <c r="W35" i="1"/>
  <c r="W31" i="1"/>
  <c r="N26" i="1"/>
  <c r="N51" i="1"/>
  <c r="M51" i="1"/>
  <c r="M26" i="1"/>
  <c r="X46" i="1"/>
  <c r="X40" i="1"/>
  <c r="X36" i="1"/>
  <c r="L26" i="1"/>
  <c r="L51" i="1"/>
  <c r="X51" i="1"/>
  <c r="X52" i="1" s="1"/>
  <c r="X26" i="1"/>
  <c r="V46" i="1"/>
  <c r="V40" i="1"/>
  <c r="V36" i="1"/>
  <c r="M21" i="1"/>
  <c r="M25" i="1"/>
  <c r="Q51" i="1"/>
  <c r="Q26" i="1"/>
  <c r="J40" i="1"/>
  <c r="U21" i="1"/>
  <c r="U25" i="1"/>
  <c r="J51" i="1"/>
  <c r="J26" i="1"/>
  <c r="K25" i="1"/>
  <c r="K21" i="1"/>
  <c r="O26" i="1"/>
  <c r="O51" i="1"/>
  <c r="U40" i="1"/>
  <c r="U36" i="1"/>
  <c r="U46" i="1"/>
  <c r="I40" i="1"/>
  <c r="I46" i="1"/>
  <c r="Q36" i="1"/>
  <c r="R21" i="1"/>
  <c r="R25" i="1"/>
  <c r="J25" i="1"/>
  <c r="J21" i="1"/>
  <c r="S26" i="1"/>
  <c r="S51" i="1"/>
  <c r="L46" i="1"/>
  <c r="Q25" i="1"/>
  <c r="Q21" i="1"/>
  <c r="V21" i="1"/>
  <c r="V25" i="1"/>
  <c r="R26" i="1"/>
  <c r="R51" i="1"/>
  <c r="K51" i="1"/>
  <c r="K26" i="1"/>
  <c r="W36" i="1"/>
  <c r="P46" i="1"/>
  <c r="K46" i="1"/>
  <c r="K36" i="1"/>
  <c r="S21" i="1"/>
  <c r="S25" i="1"/>
  <c r="V51" i="1"/>
  <c r="V26" i="1"/>
  <c r="W26" i="1"/>
  <c r="W51" i="1"/>
  <c r="O40" i="1"/>
  <c r="O36" i="1"/>
  <c r="O46" i="1"/>
  <c r="N21" i="1"/>
  <c r="N25" i="1"/>
  <c r="O21" i="1"/>
  <c r="O25" i="1"/>
  <c r="P25" i="1"/>
  <c r="P21" i="1"/>
  <c r="U26" i="1"/>
  <c r="U51" i="1"/>
  <c r="T51" i="1"/>
  <c r="T26" i="1"/>
  <c r="T46" i="1"/>
  <c r="T36" i="1"/>
  <c r="T40" i="1"/>
  <c r="R46" i="1"/>
  <c r="R40" i="1"/>
  <c r="R36" i="1"/>
  <c r="X25" i="1"/>
  <c r="X21" i="1"/>
  <c r="X19" i="1" s="1"/>
  <c r="W25" i="1"/>
  <c r="W21" i="1"/>
  <c r="I51" i="1"/>
  <c r="I26" i="1"/>
  <c r="P26" i="1"/>
  <c r="P51" i="1"/>
  <c r="S40" i="1"/>
  <c r="M46" i="1"/>
  <c r="M40" i="1"/>
  <c r="M36" i="1"/>
  <c r="L25" i="1"/>
  <c r="L21" i="1"/>
  <c r="T25" i="1"/>
  <c r="T21" i="1"/>
  <c r="I25" i="1"/>
  <c r="I21" i="1"/>
  <c r="H15" i="1"/>
  <c r="Q15" i="1" a="1"/>
  <c r="X15" i="1" a="1"/>
  <c r="N15" i="1" a="1"/>
  <c r="V15" i="1" a="1"/>
  <c r="W15" i="1" a="1"/>
  <c r="R15" i="1" a="1"/>
  <c r="U15" i="1" a="1"/>
  <c r="L15" i="1" a="1"/>
  <c r="T15" i="1" a="1"/>
  <c r="J15" i="1" a="1"/>
  <c r="P15" i="1" a="1"/>
  <c r="O15" i="1" a="1"/>
  <c r="I15" i="1" a="1"/>
  <c r="K15" i="1" a="1"/>
  <c r="M15" i="1" a="1"/>
  <c r="S15" i="1" a="1"/>
  <c r="W19" i="1" l="1"/>
  <c r="V19" i="1" s="1"/>
  <c r="U19" i="1" s="1"/>
  <c r="Q40" i="1"/>
  <c r="J46" i="1"/>
  <c r="S46" i="1"/>
  <c r="W46" i="1"/>
  <c r="L36" i="1"/>
  <c r="P36" i="1"/>
  <c r="N40" i="1"/>
  <c r="N46" i="1"/>
  <c r="L35" i="1"/>
  <c r="P31" i="1"/>
  <c r="Q31" i="1"/>
  <c r="R35" i="1"/>
  <c r="S35" i="1"/>
  <c r="X37" i="1"/>
  <c r="X34" i="1"/>
  <c r="W34" i="1" s="1"/>
  <c r="V34" i="1" s="1"/>
  <c r="U34" i="1" s="1"/>
  <c r="X24" i="1"/>
  <c r="W24" i="1" s="1"/>
  <c r="V24" i="1" s="1"/>
  <c r="U24" i="1" s="1"/>
  <c r="T27" i="1" s="1"/>
  <c r="X27" i="1"/>
  <c r="O31" i="1"/>
  <c r="X42" i="1"/>
  <c r="X39" i="1"/>
  <c r="W39" i="1" s="1"/>
  <c r="V39" i="1" s="1"/>
  <c r="U39" i="1" s="1"/>
  <c r="M35" i="1"/>
  <c r="X49" i="1"/>
  <c r="X31" i="1"/>
  <c r="U31" i="1"/>
  <c r="X47" i="1"/>
  <c r="X44" i="1"/>
  <c r="U22" i="1"/>
  <c r="V22" i="1"/>
  <c r="W22" i="1"/>
  <c r="X22" i="1"/>
  <c r="K15" i="1"/>
  <c r="N15" i="1"/>
  <c r="Q15" i="1"/>
  <c r="X15" i="1"/>
  <c r="L15" i="1"/>
  <c r="P15" i="1"/>
  <c r="T15" i="1"/>
  <c r="U15" i="1"/>
  <c r="I15" i="1"/>
  <c r="M15" i="1"/>
  <c r="R15" i="1"/>
  <c r="V15" i="1"/>
  <c r="S15" i="1"/>
  <c r="J15" i="1"/>
  <c r="W15" i="1"/>
  <c r="O15" i="1"/>
  <c r="W44" i="1" l="1"/>
  <c r="V44" i="1" s="1"/>
  <c r="U44" i="1" s="1"/>
  <c r="T47" i="1" s="1"/>
  <c r="V27" i="1"/>
  <c r="U47" i="1"/>
  <c r="U27" i="1"/>
  <c r="W27" i="1"/>
  <c r="W47" i="1"/>
  <c r="U37" i="1"/>
  <c r="W37" i="1"/>
  <c r="V47" i="1"/>
  <c r="W49" i="1"/>
  <c r="W52" i="1"/>
  <c r="T39" i="1"/>
  <c r="N43" i="1"/>
  <c r="T42" i="1"/>
  <c r="V42" i="1"/>
  <c r="U42" i="1"/>
  <c r="W42" i="1"/>
  <c r="N28" i="1"/>
  <c r="T24" i="1"/>
  <c r="T34" i="1"/>
  <c r="N23" i="1"/>
  <c r="T19" i="1"/>
  <c r="T22" i="1"/>
  <c r="T44" i="1"/>
  <c r="N48" i="1"/>
  <c r="X32" i="1"/>
  <c r="X29" i="1"/>
  <c r="T37" i="1"/>
  <c r="V37" i="1"/>
  <c r="S22" i="1" l="1"/>
  <c r="S19" i="1"/>
  <c r="W29" i="1"/>
  <c r="W32" i="1"/>
  <c r="S34" i="1"/>
  <c r="S37" i="1"/>
  <c r="S24" i="1"/>
  <c r="S27" i="1"/>
  <c r="S39" i="1"/>
  <c r="S42" i="1"/>
  <c r="S44" i="1"/>
  <c r="S47" i="1"/>
  <c r="V49" i="1"/>
  <c r="V52" i="1"/>
  <c r="R24" i="1" l="1"/>
  <c r="R27" i="1"/>
  <c r="U49" i="1"/>
  <c r="U52" i="1"/>
  <c r="R34" i="1"/>
  <c r="R37" i="1"/>
  <c r="R44" i="1"/>
  <c r="R47" i="1"/>
  <c r="V29" i="1"/>
  <c r="V32" i="1"/>
  <c r="R19" i="1"/>
  <c r="R22" i="1"/>
  <c r="R39" i="1"/>
  <c r="R42" i="1"/>
  <c r="Q44" i="1" l="1"/>
  <c r="Q47" i="1"/>
  <c r="Q39" i="1"/>
  <c r="Q42" i="1"/>
  <c r="Q34" i="1"/>
  <c r="Q37" i="1"/>
  <c r="Q19" i="1"/>
  <c r="Q22" i="1"/>
  <c r="T49" i="1"/>
  <c r="N53" i="1"/>
  <c r="T52" i="1"/>
  <c r="U29" i="1"/>
  <c r="U32" i="1"/>
  <c r="Q24" i="1"/>
  <c r="Q27" i="1"/>
  <c r="P19" i="1" l="1"/>
  <c r="P22" i="1"/>
  <c r="P24" i="1"/>
  <c r="P27" i="1"/>
  <c r="P34" i="1"/>
  <c r="P37" i="1"/>
  <c r="T29" i="1"/>
  <c r="N33" i="1"/>
  <c r="T32" i="1"/>
  <c r="P39" i="1"/>
  <c r="P42" i="1"/>
  <c r="S49" i="1"/>
  <c r="S52" i="1"/>
  <c r="P44" i="1"/>
  <c r="P47" i="1"/>
  <c r="S29" i="1" l="1"/>
  <c r="S32" i="1"/>
  <c r="O44" i="1"/>
  <c r="O47" i="1"/>
  <c r="O34" i="1"/>
  <c r="O37" i="1"/>
  <c r="R49" i="1"/>
  <c r="R52" i="1"/>
  <c r="O24" i="1"/>
  <c r="O27" i="1"/>
  <c r="O39" i="1"/>
  <c r="O42" i="1"/>
  <c r="O22" i="1"/>
  <c r="O19" i="1"/>
  <c r="Q49" i="1" l="1"/>
  <c r="Q52" i="1"/>
  <c r="N22" i="1"/>
  <c r="N19" i="1"/>
  <c r="N34" i="1"/>
  <c r="N37" i="1"/>
  <c r="N39" i="1"/>
  <c r="N42" i="1"/>
  <c r="N44" i="1"/>
  <c r="N47" i="1"/>
  <c r="N27" i="1"/>
  <c r="N24" i="1"/>
  <c r="R29" i="1"/>
  <c r="R32" i="1"/>
  <c r="M39" i="1" l="1"/>
  <c r="M42" i="1"/>
  <c r="Q29" i="1"/>
  <c r="Q32" i="1"/>
  <c r="M34" i="1"/>
  <c r="M37" i="1"/>
  <c r="M27" i="1"/>
  <c r="M24" i="1"/>
  <c r="M22" i="1"/>
  <c r="M19" i="1"/>
  <c r="M44" i="1"/>
  <c r="M47" i="1"/>
  <c r="P49" i="1"/>
  <c r="P52" i="1"/>
  <c r="L24" i="1" l="1"/>
  <c r="L27" i="1"/>
  <c r="O49" i="1"/>
  <c r="O52" i="1"/>
  <c r="L34" i="1"/>
  <c r="L37" i="1"/>
  <c r="L44" i="1"/>
  <c r="L47" i="1"/>
  <c r="P29" i="1"/>
  <c r="P32" i="1"/>
  <c r="L19" i="1"/>
  <c r="L22" i="1"/>
  <c r="L39" i="1"/>
  <c r="L42" i="1"/>
  <c r="K44" i="1" l="1"/>
  <c r="K47" i="1"/>
  <c r="K39" i="1"/>
  <c r="K42" i="1"/>
  <c r="K34" i="1"/>
  <c r="K37" i="1"/>
  <c r="K19" i="1"/>
  <c r="K22" i="1"/>
  <c r="N49" i="1"/>
  <c r="N52" i="1"/>
  <c r="O29" i="1"/>
  <c r="O32" i="1"/>
  <c r="K24" i="1"/>
  <c r="K27" i="1"/>
  <c r="J19" i="1" l="1"/>
  <c r="J22" i="1"/>
  <c r="J27" i="1"/>
  <c r="J24" i="1"/>
  <c r="J34" i="1"/>
  <c r="J37" i="1"/>
  <c r="N29" i="1"/>
  <c r="N32" i="1"/>
  <c r="J39" i="1"/>
  <c r="J42" i="1"/>
  <c r="M49" i="1"/>
  <c r="M52" i="1"/>
  <c r="J44" i="1"/>
  <c r="J47" i="1"/>
  <c r="M29" i="1" l="1"/>
  <c r="M32" i="1"/>
  <c r="I44" i="1"/>
  <c r="I47" i="1"/>
  <c r="I34" i="1"/>
  <c r="I37" i="1"/>
  <c r="I24" i="1"/>
  <c r="I27" i="1"/>
  <c r="L49" i="1"/>
  <c r="L52" i="1"/>
  <c r="I39" i="1"/>
  <c r="I42" i="1"/>
  <c r="I22" i="1"/>
  <c r="I19" i="1"/>
  <c r="R28" i="1" l="1"/>
  <c r="P28" i="1"/>
  <c r="L28" i="1"/>
  <c r="J28" i="1"/>
  <c r="T28" i="1"/>
  <c r="H27" i="1"/>
  <c r="T23" i="1"/>
  <c r="H22" i="1"/>
  <c r="J23" i="1"/>
  <c r="P38" i="1"/>
  <c r="P23" i="1"/>
  <c r="R23" i="1"/>
  <c r="L23" i="1"/>
  <c r="H37" i="1"/>
  <c r="J38" i="1"/>
  <c r="T38" i="1"/>
  <c r="R43" i="1"/>
  <c r="P43" i="1"/>
  <c r="L43" i="1"/>
  <c r="L48" i="1"/>
  <c r="R48" i="1"/>
  <c r="P48" i="1"/>
  <c r="T43" i="1"/>
  <c r="H42" i="1"/>
  <c r="J43" i="1"/>
  <c r="J48" i="1"/>
  <c r="H47" i="1"/>
  <c r="T48" i="1"/>
  <c r="K49" i="1"/>
  <c r="K52" i="1"/>
  <c r="L29" i="1"/>
  <c r="L32" i="1"/>
  <c r="Z42" i="1" a="1"/>
  <c r="Z47" i="1" a="1"/>
  <c r="Z27" i="1" a="1"/>
  <c r="Z22" i="1" a="1"/>
  <c r="Z37" i="1" a="1"/>
  <c r="Z37" i="1" l="1"/>
  <c r="Z22" i="1"/>
  <c r="Z27" i="1"/>
  <c r="Z47" i="1"/>
  <c r="Z42" i="1"/>
  <c r="J49" i="1"/>
  <c r="J52" i="1"/>
  <c r="K29" i="1"/>
  <c r="K32" i="1"/>
  <c r="AB37" i="1" a="1"/>
  <c r="AB22" i="1" a="1"/>
  <c r="AB27" i="1" a="1"/>
  <c r="AB47" i="1" a="1"/>
  <c r="AB42" i="1" a="1"/>
  <c r="AB42" i="1" l="1"/>
  <c r="AB47" i="1"/>
  <c r="AB27" i="1"/>
  <c r="AB22" i="1"/>
  <c r="AB37" i="1"/>
  <c r="J29" i="1"/>
  <c r="J32" i="1"/>
  <c r="I49" i="1"/>
  <c r="I52" i="1"/>
  <c r="H52" i="1" l="1"/>
  <c r="J53" i="1"/>
  <c r="T53" i="1"/>
  <c r="I29" i="1"/>
  <c r="I32" i="1"/>
  <c r="L53" i="1"/>
  <c r="R53" i="1"/>
  <c r="P53" i="1"/>
  <c r="Z52" i="1" a="1"/>
  <c r="Z52" i="1" l="1"/>
  <c r="L33" i="1"/>
  <c r="P33" i="1"/>
  <c r="R33" i="1"/>
  <c r="J33" i="1"/>
  <c r="H32" i="1"/>
  <c r="T33" i="1"/>
  <c r="AB52" i="1" a="1"/>
  <c r="Z32" i="1" a="1"/>
  <c r="AB52" i="1" l="1"/>
  <c r="Z32" i="1"/>
  <c r="AB32" i="1" a="1"/>
  <c r="AB3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<sst xmlns="http://schemas.openxmlformats.org/spreadsheetml/2006/main" count="81" uniqueCount="32">
  <si>
    <t>A:</t>
  </si>
  <si>
    <t>C:</t>
  </si>
  <si>
    <t>X1:</t>
  </si>
  <si>
    <t>X2:</t>
  </si>
  <si>
    <t>X3:</t>
  </si>
  <si>
    <t>X4:</t>
  </si>
  <si>
    <t>X5:</t>
  </si>
  <si>
    <t>X6:</t>
  </si>
  <si>
    <t>X7:</t>
  </si>
  <si>
    <t>X8:</t>
  </si>
  <si>
    <t>X9:</t>
  </si>
  <si>
    <t>X10:</t>
  </si>
  <si>
    <t>X11:</t>
  </si>
  <si>
    <t>X12: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</si>
  <si>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</si>
  <si>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</si>
  <si>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</si>
  <si>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</si>
  <si>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</si>
  <si>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</si>
  <si>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</si>
  <si>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</si>
  <si>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</si>
  <si>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B11</t>
  </si>
  <si>
    <t>B12</t>
  </si>
  <si>
    <t>B10</t>
  </si>
  <si>
    <t>CF:</t>
  </si>
  <si>
    <t>PF:</t>
  </si>
  <si>
    <t>AF:</t>
  </si>
  <si>
    <t>ZF:</t>
  </si>
  <si>
    <t>SF:</t>
  </si>
  <si>
    <t>OF: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</si>
</sst>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charset val="204"/>
      <scheme val="minor"/>
    </font>
    <font>
      <sz val="14"/>
      <color rgb="FFFFFFFF"/>
      <name val="Helvetica Neue"/>
      <family val="2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charset val="204"/>
      <scheme val="minor"/>
    </font>
    <font>
      <sz val="12"/>
      <color theme="0" tint="-0.249977111117893"/>
      <name val="Aptos Narrow"/>
      <family val="2"/>
      <charset val="204"/>
      <scheme val="minor"/>
    </font>
    <font>
      <sz val="12"/>
      <color theme="0" tint="-4.9989318521683403E-2"/>
      <name val="Aptos Narrow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righ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7" xfId="0" quotePrefix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8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5" fillId="0" borderId="0" xfId="0" applyFont="1"/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</cellXfs>
  <cellStyles count="1">
    <cellStyle name="Обычный" xfId="0" builtinId="0"/>
  </cellStyles>
  <dxfs count="2">
    <dxf>
      <font>
        <b val="0"/>
        <i val="0"/>
      </font>
      <fill>
        <patternFill>
          <bgColor rgb="FFFF0000"/>
        </patternFill>
      </fill>
    </dxf>
    <dxf>
      <font>
        <b val="0"/>
        <i val="0"/>
        <color theme="3" tint="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D302-BEB4-BA49-9F36-336C5A873B02}">
  <sheetPr codeName="Лист1"/>
  <dimension ref="A1:AB53"/>
  <sheetViews>
    <sheetView tabSelected="1" topLeftCell="C1" zoomScale="125" zoomScaleNormal="127" workbookViewId="0">
      <selection activeCell="F2" sqref="F2"/>
    </sheetView>
  </sheetViews>
  <sheetFormatPr baseColWidth="10" defaultRowHeight="16" x14ac:dyDescent="0.2"/>
  <cols>
    <col min="5" max="5" width="6.83203125" customWidth="1"/>
    <col min="8" max="8" width="19.1640625" customWidth="1"/>
    <col min="9" max="11" width="3.83203125" style="28" customWidth="1"/>
    <col min="12" max="12" width="4" style="28" customWidth="1"/>
    <col min="13" max="24" width="3.83203125" style="28" customWidth="1"/>
    <col min="25" max="25" width="3.83203125" customWidth="1"/>
    <col min="28" max="28" width="35.1640625" style="52" customWidth="1"/>
  </cols>
  <sheetData>
    <row r="1" spans="1:26" ht="19" thickBot="1" x14ac:dyDescent="0.25">
      <c r="A1" s="1">
        <v>2079</v>
      </c>
      <c r="B1">
        <v>16793</v>
      </c>
      <c r="C1">
        <v>2079</v>
      </c>
    </row>
    <row r="2" spans="1:26" x14ac:dyDescent="0.2">
      <c r="E2" s="23" t="s">
        <v>0</v>
      </c>
      <c r="F2" s="24">
        <v>2079</v>
      </c>
    </row>
    <row r="3" spans="1:26" ht="17" thickBot="1" x14ac:dyDescent="0.25">
      <c r="E3" s="25" t="s">
        <v>1</v>
      </c>
      <c r="F3" s="26">
        <v>16793</v>
      </c>
      <c r="I3" s="28">
        <v>1</v>
      </c>
      <c r="J3" s="28">
        <v>2</v>
      </c>
      <c r="K3" s="28">
        <v>3</v>
      </c>
      <c r="L3" s="28">
        <v>4</v>
      </c>
      <c r="M3" s="28">
        <v>5</v>
      </c>
      <c r="N3" s="28">
        <v>6</v>
      </c>
      <c r="O3" s="28">
        <v>7</v>
      </c>
      <c r="P3" s="28">
        <v>8</v>
      </c>
      <c r="Q3" s="28">
        <v>9</v>
      </c>
      <c r="R3" s="28">
        <v>10</v>
      </c>
      <c r="S3" s="28">
        <v>11</v>
      </c>
      <c r="T3" s="28">
        <v>12</v>
      </c>
      <c r="U3" s="28">
        <v>13</v>
      </c>
      <c r="V3" s="28">
        <v>14</v>
      </c>
      <c r="W3" s="28">
        <v>15</v>
      </c>
      <c r="X3" s="28">
        <v>16</v>
      </c>
    </row>
    <row r="4" spans="1:26" x14ac:dyDescent="0.2">
      <c r="E4" s="21" t="s">
        <v>2</v>
      </c>
      <c r="F4" s="22">
        <f>F2</f>
        <v>2079</v>
      </c>
      <c r="G4" s="18" t="s">
        <v>14</v>
      </c>
      <c r="H4" s="27" t="str" cm="1">
        <f t="array" ref="H4">DecToBin16(F4)</f>
        <v>0000100000011111</v>
      </c>
      <c r="I4" s="2" cm="1">
        <f t="array" ref="I4">TakeaChar($H4,I$3)</f>
        <v>0</v>
      </c>
      <c r="J4" s="3" cm="1">
        <f t="array" ref="J4">TakeaChar($H4,J$3)</f>
        <v>0</v>
      </c>
      <c r="K4" s="3" cm="1">
        <f t="array" ref="K4">TakeaChar($H4,K$3)</f>
        <v>0</v>
      </c>
      <c r="L4" s="3" cm="1">
        <f t="array" ref="L4">TakeaChar($H4,L$3)</f>
        <v>0</v>
      </c>
      <c r="M4" s="3" cm="1">
        <f t="array" ref="M4">TakeaChar($H4,M$3)</f>
        <v>1</v>
      </c>
      <c r="N4" s="3" cm="1">
        <f t="array" ref="N4">TakeaChar($H4,N$3)</f>
        <v>0</v>
      </c>
      <c r="O4" s="3" cm="1">
        <f t="array" ref="O4">TakeaChar($H4,O$3)</f>
        <v>0</v>
      </c>
      <c r="P4" s="3" cm="1">
        <f t="array" ref="P4">TakeaChar($H4,P$3)</f>
        <v>0</v>
      </c>
      <c r="Q4" s="3" cm="1">
        <f t="array" ref="Q4">TakeaChar($H4,Q$3)</f>
        <v>0</v>
      </c>
      <c r="R4" s="3" cm="1">
        <f t="array" ref="R4">TakeaChar($H4,R$3)</f>
        <v>0</v>
      </c>
      <c r="S4" s="3" cm="1">
        <f t="array" ref="S4">TakeaChar($H4,S$3)</f>
        <v>0</v>
      </c>
      <c r="T4" s="3" cm="1">
        <f t="array" ref="T4">TakeaChar($H4,T$3)</f>
        <v>1</v>
      </c>
      <c r="U4" s="3" cm="1">
        <f t="array" ref="U4">TakeaChar($H4,U$3)</f>
        <v>1</v>
      </c>
      <c r="V4" s="3" cm="1">
        <f t="array" ref="V4">TakeaChar($H4,V$3)</f>
        <v>1</v>
      </c>
      <c r="W4" s="3" cm="1">
        <f t="array" ref="W4">TakeaChar($H4,W$3)</f>
        <v>1</v>
      </c>
      <c r="X4" s="4" cm="1">
        <f t="array" ref="X4">TakeaChar($H4,X$3)</f>
        <v>1</v>
      </c>
      <c r="Y4" s="17"/>
      <c r="Z4" s="17"/>
    </row>
    <row r="5" spans="1:26" x14ac:dyDescent="0.2">
      <c r="E5" s="15" t="s">
        <v>3</v>
      </c>
      <c r="F5" s="16">
        <f>F3</f>
        <v>16793</v>
      </c>
      <c r="G5" s="19" t="s">
        <v>15</v>
      </c>
      <c r="H5" t="str" cm="1">
        <f t="array" ref="H5">DecToBin16(F5)</f>
        <v>0100000110011001</v>
      </c>
      <c r="I5" s="5" cm="1">
        <f t="array" ref="I5">TakeaChar($H5,I$3)</f>
        <v>0</v>
      </c>
      <c r="J5" s="17" cm="1">
        <f t="array" ref="J5">TakeaChar($H5,J$3)</f>
        <v>1</v>
      </c>
      <c r="K5" s="17" cm="1">
        <f t="array" ref="K5">TakeaChar($H5,K$3)</f>
        <v>0</v>
      </c>
      <c r="L5" s="17" cm="1">
        <f t="array" ref="L5">TakeaChar($H5,L$3)</f>
        <v>0</v>
      </c>
      <c r="M5" s="17" cm="1">
        <f t="array" ref="M5">TakeaChar($H5,M$3)</f>
        <v>0</v>
      </c>
      <c r="N5" s="17" cm="1">
        <f t="array" ref="N5">TakeaChar($H5,N$3)</f>
        <v>0</v>
      </c>
      <c r="O5" s="17" cm="1">
        <f t="array" ref="O5">TakeaChar($H5,O$3)</f>
        <v>0</v>
      </c>
      <c r="P5" s="17" cm="1">
        <f t="array" ref="P5">TakeaChar($H5,P$3)</f>
        <v>1</v>
      </c>
      <c r="Q5" s="17" cm="1">
        <f t="array" ref="Q5">TakeaChar($H5,Q$3)</f>
        <v>1</v>
      </c>
      <c r="R5" s="17" cm="1">
        <f t="array" ref="R5">TakeaChar($H5,R$3)</f>
        <v>0</v>
      </c>
      <c r="S5" s="17" cm="1">
        <f t="array" ref="S5">TakeaChar($H5,S$3)</f>
        <v>0</v>
      </c>
      <c r="T5" s="17" cm="1">
        <f t="array" ref="T5">TakeaChar($H5,T$3)</f>
        <v>1</v>
      </c>
      <c r="U5" s="17" cm="1">
        <f t="array" ref="U5">TakeaChar($H5,U$3)</f>
        <v>1</v>
      </c>
      <c r="V5" s="17" cm="1">
        <f t="array" ref="V5">TakeaChar($H5,V$3)</f>
        <v>0</v>
      </c>
      <c r="W5" s="17" cm="1">
        <f t="array" ref="W5">TakeaChar($H5,W$3)</f>
        <v>0</v>
      </c>
      <c r="X5" s="6" cm="1">
        <f t="array" ref="X5">TakeaChar($H5,X$3)</f>
        <v>1</v>
      </c>
      <c r="Y5" s="17"/>
    </row>
    <row r="6" spans="1:26" x14ac:dyDescent="0.2">
      <c r="E6" s="15" t="s">
        <v>4</v>
      </c>
      <c r="F6" s="16">
        <f>F2+F3</f>
        <v>18872</v>
      </c>
      <c r="G6" s="19" t="s">
        <v>16</v>
      </c>
      <c r="H6" t="str" cm="1">
        <f t="array" ref="H6">DecToBin16(F6)</f>
        <v>0100100110111000</v>
      </c>
      <c r="I6" s="5" cm="1">
        <f t="array" ref="I6">TakeaChar($H6,I$3)</f>
        <v>0</v>
      </c>
      <c r="J6" s="17" cm="1">
        <f t="array" ref="J6">TakeaChar($H6,J$3)</f>
        <v>1</v>
      </c>
      <c r="K6" s="17" cm="1">
        <f t="array" ref="K6">TakeaChar($H6,K$3)</f>
        <v>0</v>
      </c>
      <c r="L6" s="17" cm="1">
        <f t="array" ref="L6">TakeaChar($H6,L$3)</f>
        <v>0</v>
      </c>
      <c r="M6" s="17" cm="1">
        <f t="array" ref="M6">TakeaChar($H6,M$3)</f>
        <v>1</v>
      </c>
      <c r="N6" s="17" cm="1">
        <f t="array" ref="N6">TakeaChar($H6,N$3)</f>
        <v>0</v>
      </c>
      <c r="O6" s="17" cm="1">
        <f t="array" ref="O6">TakeaChar($H6,O$3)</f>
        <v>0</v>
      </c>
      <c r="P6" s="17" cm="1">
        <f t="array" ref="P6">TakeaChar($H6,P$3)</f>
        <v>1</v>
      </c>
      <c r="Q6" s="17" cm="1">
        <f t="array" ref="Q6">TakeaChar($H6,Q$3)</f>
        <v>1</v>
      </c>
      <c r="R6" s="17" cm="1">
        <f t="array" ref="R6">TakeaChar($H6,R$3)</f>
        <v>0</v>
      </c>
      <c r="S6" s="17" cm="1">
        <f t="array" ref="S6">TakeaChar($H6,S$3)</f>
        <v>1</v>
      </c>
      <c r="T6" s="17" cm="1">
        <f t="array" ref="T6">TakeaChar($H6,T$3)</f>
        <v>1</v>
      </c>
      <c r="U6" s="17" cm="1">
        <f t="array" ref="U6">TakeaChar($H6,U$3)</f>
        <v>1</v>
      </c>
      <c r="V6" s="17" cm="1">
        <f t="array" ref="V6">TakeaChar($H6,V$3)</f>
        <v>0</v>
      </c>
      <c r="W6" s="17" cm="1">
        <f t="array" ref="W6">TakeaChar($H6,W$3)</f>
        <v>0</v>
      </c>
      <c r="X6" s="6" cm="1">
        <f t="array" ref="X6">TakeaChar($H6,X$3)</f>
        <v>0</v>
      </c>
      <c r="Y6" s="17"/>
    </row>
    <row r="7" spans="1:26" x14ac:dyDescent="0.2">
      <c r="E7" s="15" t="s">
        <v>5</v>
      </c>
      <c r="F7" s="16">
        <f>F2+F3+F3</f>
        <v>35665</v>
      </c>
      <c r="G7" s="19" t="s">
        <v>17</v>
      </c>
      <c r="H7" t="str" cm="1">
        <f t="array" ref="H7">DecToBin16(F7)</f>
        <v>1000101101010001</v>
      </c>
      <c r="I7" s="5" cm="1">
        <f t="array" ref="I7">TakeaChar($H7,I$3)</f>
        <v>1</v>
      </c>
      <c r="J7" s="17" cm="1">
        <f t="array" ref="J7">TakeaChar($H7,J$3)</f>
        <v>0</v>
      </c>
      <c r="K7" s="17" cm="1">
        <f t="array" ref="K7">TakeaChar($H7,K$3)</f>
        <v>0</v>
      </c>
      <c r="L7" s="17" cm="1">
        <f t="array" ref="L7">TakeaChar($H7,L$3)</f>
        <v>0</v>
      </c>
      <c r="M7" s="17" cm="1">
        <f t="array" ref="M7">TakeaChar($H7,M$3)</f>
        <v>1</v>
      </c>
      <c r="N7" s="17" cm="1">
        <f t="array" ref="N7">TakeaChar($H7,N$3)</f>
        <v>0</v>
      </c>
      <c r="O7" s="17" cm="1">
        <f t="array" ref="O7">TakeaChar($H7,O$3)</f>
        <v>1</v>
      </c>
      <c r="P7" s="17" cm="1">
        <f t="array" ref="P7">TakeaChar($H7,P$3)</f>
        <v>1</v>
      </c>
      <c r="Q7" s="17" cm="1">
        <f t="array" ref="Q7">TakeaChar($H7,Q$3)</f>
        <v>0</v>
      </c>
      <c r="R7" s="17" cm="1">
        <f t="array" ref="R7">TakeaChar($H7,R$3)</f>
        <v>1</v>
      </c>
      <c r="S7" s="17" cm="1">
        <f t="array" ref="S7">TakeaChar($H7,S$3)</f>
        <v>0</v>
      </c>
      <c r="T7" s="17" cm="1">
        <f t="array" ref="T7">TakeaChar($H7,T$3)</f>
        <v>1</v>
      </c>
      <c r="U7" s="17" cm="1">
        <f t="array" ref="U7">TakeaChar($H7,U$3)</f>
        <v>0</v>
      </c>
      <c r="V7" s="17" cm="1">
        <f t="array" ref="V7">TakeaChar($H7,V$3)</f>
        <v>0</v>
      </c>
      <c r="W7" s="17" cm="1">
        <f t="array" ref="W7">TakeaChar($H7,W$3)</f>
        <v>0</v>
      </c>
      <c r="X7" s="6" cm="1">
        <f t="array" ref="X7">TakeaChar($H7,X$3)</f>
        <v>1</v>
      </c>
      <c r="Y7" s="17"/>
    </row>
    <row r="8" spans="1:26" x14ac:dyDescent="0.2">
      <c r="E8" s="15" t="s">
        <v>6</v>
      </c>
      <c r="F8" s="16">
        <f>F3-F2</f>
        <v>14714</v>
      </c>
      <c r="G8" s="19" t="s">
        <v>18</v>
      </c>
      <c r="H8" t="str" cm="1">
        <f t="array" ref="H8">DecToBin16(F8)</f>
        <v>0011100101111010</v>
      </c>
      <c r="I8" s="5" cm="1">
        <f t="array" ref="I8">TakeaChar($H8,I$3)</f>
        <v>0</v>
      </c>
      <c r="J8" s="17" cm="1">
        <f t="array" ref="J8">TakeaChar($H8,J$3)</f>
        <v>0</v>
      </c>
      <c r="K8" s="17" cm="1">
        <f t="array" ref="K8">TakeaChar($H8,K$3)</f>
        <v>1</v>
      </c>
      <c r="L8" s="17" cm="1">
        <f t="array" ref="L8">TakeaChar($H8,L$3)</f>
        <v>1</v>
      </c>
      <c r="M8" s="17" cm="1">
        <f t="array" ref="M8">TakeaChar($H8,M$3)</f>
        <v>1</v>
      </c>
      <c r="N8" s="17" cm="1">
        <f t="array" ref="N8">TakeaChar($H8,N$3)</f>
        <v>0</v>
      </c>
      <c r="O8" s="17" cm="1">
        <f t="array" ref="O8">TakeaChar($H8,O$3)</f>
        <v>0</v>
      </c>
      <c r="P8" s="17" cm="1">
        <f t="array" ref="P8">TakeaChar($H8,P$3)</f>
        <v>1</v>
      </c>
      <c r="Q8" s="17" cm="1">
        <f t="array" ref="Q8">TakeaChar($H8,Q$3)</f>
        <v>0</v>
      </c>
      <c r="R8" s="17" cm="1">
        <f t="array" ref="R8">TakeaChar($H8,R$3)</f>
        <v>1</v>
      </c>
      <c r="S8" s="17" cm="1">
        <f t="array" ref="S8">TakeaChar($H8,S$3)</f>
        <v>1</v>
      </c>
      <c r="T8" s="17" cm="1">
        <f t="array" ref="T8">TakeaChar($H8,T$3)</f>
        <v>1</v>
      </c>
      <c r="U8" s="17" cm="1">
        <f t="array" ref="U8">TakeaChar($H8,U$3)</f>
        <v>1</v>
      </c>
      <c r="V8" s="17" cm="1">
        <f t="array" ref="V8">TakeaChar($H8,V$3)</f>
        <v>0</v>
      </c>
      <c r="W8" s="17" cm="1">
        <f t="array" ref="W8">TakeaChar($H8,W$3)</f>
        <v>1</v>
      </c>
      <c r="X8" s="6" cm="1">
        <f t="array" ref="X8">TakeaChar($H8,X$3)</f>
        <v>0</v>
      </c>
      <c r="Y8" s="17"/>
    </row>
    <row r="9" spans="1:26" x14ac:dyDescent="0.2">
      <c r="E9" s="15" t="s">
        <v>7</v>
      </c>
      <c r="F9" s="16">
        <f>65536-F7</f>
        <v>29871</v>
      </c>
      <c r="G9" s="20" t="s">
        <v>19</v>
      </c>
      <c r="H9" s="10" t="str" cm="1">
        <f t="array" ref="H9">DecToBin16(F9)</f>
        <v>0111010010101111</v>
      </c>
      <c r="I9" s="11" cm="1">
        <f t="array" ref="I9">TakeaChar($H9,I$3)</f>
        <v>0</v>
      </c>
      <c r="J9" s="12" cm="1">
        <f t="array" ref="J9">TakeaChar($H9,J$3)</f>
        <v>1</v>
      </c>
      <c r="K9" s="12" cm="1">
        <f t="array" ref="K9">TakeaChar($H9,K$3)</f>
        <v>1</v>
      </c>
      <c r="L9" s="12" cm="1">
        <f t="array" ref="L9">TakeaChar($H9,L$3)</f>
        <v>1</v>
      </c>
      <c r="M9" s="12" cm="1">
        <f t="array" ref="M9">TakeaChar($H9,M$3)</f>
        <v>0</v>
      </c>
      <c r="N9" s="12" cm="1">
        <f t="array" ref="N9">TakeaChar($H9,N$3)</f>
        <v>1</v>
      </c>
      <c r="O9" s="12" cm="1">
        <f t="array" ref="O9">TakeaChar($H9,O$3)</f>
        <v>0</v>
      </c>
      <c r="P9" s="12" cm="1">
        <f t="array" ref="P9">TakeaChar($H9,P$3)</f>
        <v>0</v>
      </c>
      <c r="Q9" s="12" cm="1">
        <f t="array" ref="Q9">TakeaChar($H9,Q$3)</f>
        <v>1</v>
      </c>
      <c r="R9" s="12" cm="1">
        <f t="array" ref="R9">TakeaChar($H9,R$3)</f>
        <v>0</v>
      </c>
      <c r="S9" s="12" cm="1">
        <f t="array" ref="S9">TakeaChar($H9,S$3)</f>
        <v>1</v>
      </c>
      <c r="T9" s="12" cm="1">
        <f t="array" ref="T9">TakeaChar($H9,T$3)</f>
        <v>0</v>
      </c>
      <c r="U9" s="12" cm="1">
        <f t="array" ref="U9">TakeaChar($H9,U$3)</f>
        <v>1</v>
      </c>
      <c r="V9" s="12" cm="1">
        <f t="array" ref="V9">TakeaChar($H9,V$3)</f>
        <v>1</v>
      </c>
      <c r="W9" s="12" cm="1">
        <f t="array" ref="W9">TakeaChar($H9,W$3)</f>
        <v>1</v>
      </c>
      <c r="X9" s="13" cm="1">
        <f t="array" ref="X9">TakeaChar($H9,X$3)</f>
        <v>1</v>
      </c>
      <c r="Y9" s="17"/>
    </row>
    <row r="10" spans="1:26" x14ac:dyDescent="0.2">
      <c r="E10" s="15" t="s">
        <v>8</v>
      </c>
      <c r="F10" s="16">
        <f>-F4</f>
        <v>-2079</v>
      </c>
      <c r="G10" s="19" t="s">
        <v>20</v>
      </c>
      <c r="H10" t="str" cm="1">
        <f t="array" ref="H10">DecToBin16(F10)</f>
        <v>1111011111100001</v>
      </c>
      <c r="I10" s="5" cm="1">
        <f t="array" ref="I10">TakeaChar($H10,I$3)</f>
        <v>1</v>
      </c>
      <c r="J10" s="17" cm="1">
        <f t="array" ref="J10">TakeaChar($H10,J$3)</f>
        <v>1</v>
      </c>
      <c r="K10" s="17" cm="1">
        <f t="array" ref="K10">TakeaChar($H10,K$3)</f>
        <v>1</v>
      </c>
      <c r="L10" s="17" cm="1">
        <f t="array" ref="L10">TakeaChar($H10,L$3)</f>
        <v>1</v>
      </c>
      <c r="M10" s="17" cm="1">
        <f t="array" ref="M10">TakeaChar($H10,M$3)</f>
        <v>0</v>
      </c>
      <c r="N10" s="17" cm="1">
        <f t="array" ref="N10">TakeaChar($H10,N$3)</f>
        <v>1</v>
      </c>
      <c r="O10" s="17" cm="1">
        <f t="array" ref="O10">TakeaChar($H10,O$3)</f>
        <v>1</v>
      </c>
      <c r="P10" s="17" cm="1">
        <f t="array" ref="P10">TakeaChar($H10,P$3)</f>
        <v>1</v>
      </c>
      <c r="Q10" s="17" cm="1">
        <f t="array" ref="Q10">TakeaChar($H10,Q$3)</f>
        <v>1</v>
      </c>
      <c r="R10" s="17" cm="1">
        <f t="array" ref="R10">TakeaChar($H10,R$3)</f>
        <v>1</v>
      </c>
      <c r="S10" s="17" cm="1">
        <f t="array" ref="S10">TakeaChar($H10,S$3)</f>
        <v>1</v>
      </c>
      <c r="T10" s="17" cm="1">
        <f t="array" ref="T10">TakeaChar($H10,T$3)</f>
        <v>0</v>
      </c>
      <c r="U10" s="17" cm="1">
        <f t="array" ref="U10">TakeaChar($H10,U$3)</f>
        <v>0</v>
      </c>
      <c r="V10" s="17" cm="1">
        <f t="array" ref="V10">TakeaChar($H10,V$3)</f>
        <v>0</v>
      </c>
      <c r="W10" s="17" cm="1">
        <f t="array" ref="W10">TakeaChar($H10,W$3)</f>
        <v>0</v>
      </c>
      <c r="X10" s="6" cm="1">
        <f t="array" ref="X10">TakeaChar($H10,X$3)</f>
        <v>1</v>
      </c>
      <c r="Y10" s="17"/>
    </row>
    <row r="11" spans="1:26" x14ac:dyDescent="0.2">
      <c r="E11" s="15" t="s">
        <v>9</v>
      </c>
      <c r="F11" s="16">
        <f t="shared" ref="F11:F15" si="0">-F5</f>
        <v>-16793</v>
      </c>
      <c r="G11" s="19" t="s">
        <v>21</v>
      </c>
      <c r="H11" t="str" cm="1">
        <f t="array" ref="H11">DecToBin16(F11)</f>
        <v>1011111001100111</v>
      </c>
      <c r="I11" s="5" cm="1">
        <f t="array" ref="I11">TakeaChar($H11,I$3)</f>
        <v>1</v>
      </c>
      <c r="J11" s="17" cm="1">
        <f t="array" ref="J11">TakeaChar($H11,J$3)</f>
        <v>0</v>
      </c>
      <c r="K11" s="17" cm="1">
        <f t="array" ref="K11">TakeaChar($H11,K$3)</f>
        <v>1</v>
      </c>
      <c r="L11" s="17" cm="1">
        <f t="array" ref="L11">TakeaChar($H11,L$3)</f>
        <v>1</v>
      </c>
      <c r="M11" s="17" cm="1">
        <f t="array" ref="M11">TakeaChar($H11,M$3)</f>
        <v>1</v>
      </c>
      <c r="N11" s="17" cm="1">
        <f t="array" ref="N11">TakeaChar($H11,N$3)</f>
        <v>1</v>
      </c>
      <c r="O11" s="17" cm="1">
        <f t="array" ref="O11">TakeaChar($H11,O$3)</f>
        <v>1</v>
      </c>
      <c r="P11" s="17" cm="1">
        <f t="array" ref="P11">TakeaChar($H11,P$3)</f>
        <v>0</v>
      </c>
      <c r="Q11" s="17" cm="1">
        <f t="array" ref="Q11">TakeaChar($H11,Q$3)</f>
        <v>0</v>
      </c>
      <c r="R11" s="17" cm="1">
        <f t="array" ref="R11">TakeaChar($H11,R$3)</f>
        <v>1</v>
      </c>
      <c r="S11" s="17" cm="1">
        <f t="array" ref="S11">TakeaChar($H11,S$3)</f>
        <v>1</v>
      </c>
      <c r="T11" s="17" cm="1">
        <f t="array" ref="T11">TakeaChar($H11,T$3)</f>
        <v>0</v>
      </c>
      <c r="U11" s="17" cm="1">
        <f t="array" ref="U11">TakeaChar($H11,U$3)</f>
        <v>0</v>
      </c>
      <c r="V11" s="17" cm="1">
        <f t="array" ref="V11">TakeaChar($H11,V$3)</f>
        <v>1</v>
      </c>
      <c r="W11" s="17" cm="1">
        <f t="array" ref="W11">TakeaChar($H11,W$3)</f>
        <v>1</v>
      </c>
      <c r="X11" s="6" cm="1">
        <f t="array" ref="X11">TakeaChar($H11,X$3)</f>
        <v>1</v>
      </c>
      <c r="Y11" s="17"/>
    </row>
    <row r="12" spans="1:26" x14ac:dyDescent="0.2">
      <c r="E12" s="15" t="s">
        <v>10</v>
      </c>
      <c r="F12" s="16">
        <f t="shared" si="0"/>
        <v>-18872</v>
      </c>
      <c r="G12" s="19" t="s">
        <v>22</v>
      </c>
      <c r="H12" t="str" cm="1">
        <f t="array" ref="H12">DecToBin16(F12)</f>
        <v>1011011001001000</v>
      </c>
      <c r="I12" s="5" cm="1">
        <f t="array" ref="I12">TakeaChar($H12,I$3)</f>
        <v>1</v>
      </c>
      <c r="J12" s="17" cm="1">
        <f t="array" ref="J12">TakeaChar($H12,J$3)</f>
        <v>0</v>
      </c>
      <c r="K12" s="17" cm="1">
        <f t="array" ref="K12">TakeaChar($H12,K$3)</f>
        <v>1</v>
      </c>
      <c r="L12" s="17" cm="1">
        <f t="array" ref="L12">TakeaChar($H12,L$3)</f>
        <v>1</v>
      </c>
      <c r="M12" s="17" cm="1">
        <f t="array" ref="M12">TakeaChar($H12,M$3)</f>
        <v>0</v>
      </c>
      <c r="N12" s="17" cm="1">
        <f t="array" ref="N12">TakeaChar($H12,N$3)</f>
        <v>1</v>
      </c>
      <c r="O12" s="17" cm="1">
        <f t="array" ref="O12">TakeaChar($H12,O$3)</f>
        <v>1</v>
      </c>
      <c r="P12" s="17" cm="1">
        <f t="array" ref="P12">TakeaChar($H12,P$3)</f>
        <v>0</v>
      </c>
      <c r="Q12" s="17" cm="1">
        <f t="array" ref="Q12">TakeaChar($H12,Q$3)</f>
        <v>0</v>
      </c>
      <c r="R12" s="17" cm="1">
        <f t="array" ref="R12">TakeaChar($H12,R$3)</f>
        <v>1</v>
      </c>
      <c r="S12" s="17" cm="1">
        <f t="array" ref="S12">TakeaChar($H12,S$3)</f>
        <v>0</v>
      </c>
      <c r="T12" s="17" cm="1">
        <f t="array" ref="T12">TakeaChar($H12,T$3)</f>
        <v>0</v>
      </c>
      <c r="U12" s="17" cm="1">
        <f t="array" ref="U12">TakeaChar($H12,U$3)</f>
        <v>1</v>
      </c>
      <c r="V12" s="17" cm="1">
        <f t="array" ref="V12">TakeaChar($H12,V$3)</f>
        <v>0</v>
      </c>
      <c r="W12" s="17" cm="1">
        <f t="array" ref="W12">TakeaChar($H12,W$3)</f>
        <v>0</v>
      </c>
      <c r="X12" s="6" cm="1">
        <f t="array" ref="X12">TakeaChar($H12,X$3)</f>
        <v>0</v>
      </c>
      <c r="Y12" s="17"/>
    </row>
    <row r="13" spans="1:26" x14ac:dyDescent="0.2">
      <c r="E13" s="15" t="s">
        <v>11</v>
      </c>
      <c r="F13" s="16">
        <f t="shared" si="0"/>
        <v>-35665</v>
      </c>
      <c r="G13" s="19" t="s">
        <v>25</v>
      </c>
      <c r="H13" t="str" cm="1">
        <f t="array" ref="H13">DecToBin16(F13)</f>
        <v>0111010010101111</v>
      </c>
      <c r="I13" s="5" cm="1">
        <f t="array" ref="I13">TakeaChar($H13,I$3)</f>
        <v>0</v>
      </c>
      <c r="J13" s="17" cm="1">
        <f t="array" ref="J13">TakeaChar($H13,J$3)</f>
        <v>1</v>
      </c>
      <c r="K13" s="17" cm="1">
        <f t="array" ref="K13">TakeaChar($H13,K$3)</f>
        <v>1</v>
      </c>
      <c r="L13" s="17" cm="1">
        <f t="array" ref="L13">TakeaChar($H13,L$3)</f>
        <v>1</v>
      </c>
      <c r="M13" s="17" cm="1">
        <f t="array" ref="M13">TakeaChar($H13,M$3)</f>
        <v>0</v>
      </c>
      <c r="N13" s="17" cm="1">
        <f t="array" ref="N13">TakeaChar($H13,N$3)</f>
        <v>1</v>
      </c>
      <c r="O13" s="17" cm="1">
        <f t="array" ref="O13">TakeaChar($H13,O$3)</f>
        <v>0</v>
      </c>
      <c r="P13" s="17" cm="1">
        <f t="array" ref="P13">TakeaChar($H13,P$3)</f>
        <v>0</v>
      </c>
      <c r="Q13" s="17" cm="1">
        <f t="array" ref="Q13">TakeaChar($H13,Q$3)</f>
        <v>1</v>
      </c>
      <c r="R13" s="17" cm="1">
        <f t="array" ref="R13">TakeaChar($H13,R$3)</f>
        <v>0</v>
      </c>
      <c r="S13" s="17" cm="1">
        <f t="array" ref="S13">TakeaChar($H13,S$3)</f>
        <v>1</v>
      </c>
      <c r="T13" s="17" cm="1">
        <f t="array" ref="T13">TakeaChar($H13,T$3)</f>
        <v>0</v>
      </c>
      <c r="U13" s="17" cm="1">
        <f t="array" ref="U13">TakeaChar($H13,U$3)</f>
        <v>1</v>
      </c>
      <c r="V13" s="17" cm="1">
        <f t="array" ref="V13">TakeaChar($H13,V$3)</f>
        <v>1</v>
      </c>
      <c r="W13" s="17" cm="1">
        <f t="array" ref="W13">TakeaChar($H13,W$3)</f>
        <v>1</v>
      </c>
      <c r="X13" s="6" cm="1">
        <f t="array" ref="X13">TakeaChar($H13,X$3)</f>
        <v>1</v>
      </c>
      <c r="Y13" s="17"/>
    </row>
    <row r="14" spans="1:26" x14ac:dyDescent="0.2">
      <c r="E14" s="15" t="s">
        <v>12</v>
      </c>
      <c r="F14" s="16">
        <f t="shared" si="0"/>
        <v>-14714</v>
      </c>
      <c r="G14" s="19" t="s">
        <v>23</v>
      </c>
      <c r="H14" t="str" cm="1">
        <f t="array" ref="H14">DecToBin16(F14)</f>
        <v>1100011010000110</v>
      </c>
      <c r="I14" s="5" cm="1">
        <f t="array" ref="I14">TakeaChar($H14,I$3)</f>
        <v>1</v>
      </c>
      <c r="J14" s="17" cm="1">
        <f t="array" ref="J14">TakeaChar($H14,J$3)</f>
        <v>1</v>
      </c>
      <c r="K14" s="17" cm="1">
        <f t="array" ref="K14">TakeaChar($H14,K$3)</f>
        <v>0</v>
      </c>
      <c r="L14" s="17" cm="1">
        <f t="array" ref="L14">TakeaChar($H14,L$3)</f>
        <v>0</v>
      </c>
      <c r="M14" s="17" cm="1">
        <f t="array" ref="M14">TakeaChar($H14,M$3)</f>
        <v>0</v>
      </c>
      <c r="N14" s="17" cm="1">
        <f t="array" ref="N14">TakeaChar($H14,N$3)</f>
        <v>1</v>
      </c>
      <c r="O14" s="17" cm="1">
        <f t="array" ref="O14">TakeaChar($H14,O$3)</f>
        <v>1</v>
      </c>
      <c r="P14" s="17" cm="1">
        <f t="array" ref="P14">TakeaChar($H14,P$3)</f>
        <v>0</v>
      </c>
      <c r="Q14" s="17" cm="1">
        <f t="array" ref="Q14">TakeaChar($H14,Q$3)</f>
        <v>1</v>
      </c>
      <c r="R14" s="17" cm="1">
        <f t="array" ref="R14">TakeaChar($H14,R$3)</f>
        <v>0</v>
      </c>
      <c r="S14" s="17" cm="1">
        <f t="array" ref="S14">TakeaChar($H14,S$3)</f>
        <v>0</v>
      </c>
      <c r="T14" s="17" cm="1">
        <f t="array" ref="T14">TakeaChar($H14,T$3)</f>
        <v>0</v>
      </c>
      <c r="U14" s="17" cm="1">
        <f t="array" ref="U14">TakeaChar($H14,U$3)</f>
        <v>0</v>
      </c>
      <c r="V14" s="17" cm="1">
        <f t="array" ref="V14">TakeaChar($H14,V$3)</f>
        <v>1</v>
      </c>
      <c r="W14" s="17" cm="1">
        <f t="array" ref="W14">TakeaChar($H14,W$3)</f>
        <v>1</v>
      </c>
      <c r="X14" s="6" cm="1">
        <f t="array" ref="X14">TakeaChar($H14,X$3)</f>
        <v>0</v>
      </c>
      <c r="Y14" s="17"/>
    </row>
    <row r="15" spans="1:26" ht="17" thickBot="1" x14ac:dyDescent="0.25">
      <c r="E15" s="15" t="s">
        <v>13</v>
      </c>
      <c r="F15" s="16">
        <f t="shared" si="0"/>
        <v>-29871</v>
      </c>
      <c r="G15" s="20" t="s">
        <v>24</v>
      </c>
      <c r="H15" s="10" t="str" cm="1">
        <f t="array" ref="H15">DecToBin16(F15)</f>
        <v>1000101101010001</v>
      </c>
      <c r="I15" s="7" cm="1">
        <f t="array" ref="I15">TakeaChar($H15,I$3)</f>
        <v>1</v>
      </c>
      <c r="J15" s="8" cm="1">
        <f t="array" ref="J15">TakeaChar($H15,J$3)</f>
        <v>0</v>
      </c>
      <c r="K15" s="8" cm="1">
        <f t="array" ref="K15">TakeaChar($H15,K$3)</f>
        <v>0</v>
      </c>
      <c r="L15" s="8" cm="1">
        <f t="array" ref="L15">TakeaChar($H15,L$3)</f>
        <v>0</v>
      </c>
      <c r="M15" s="8" cm="1">
        <f t="array" ref="M15">TakeaChar($H15,M$3)</f>
        <v>1</v>
      </c>
      <c r="N15" s="8" cm="1">
        <f t="array" ref="N15">TakeaChar($H15,N$3)</f>
        <v>0</v>
      </c>
      <c r="O15" s="8" cm="1">
        <f t="array" ref="O15">TakeaChar($H15,O$3)</f>
        <v>1</v>
      </c>
      <c r="P15" s="8" cm="1">
        <f t="array" ref="P15">TakeaChar($H15,P$3)</f>
        <v>1</v>
      </c>
      <c r="Q15" s="8" cm="1">
        <f t="array" ref="Q15">TakeaChar($H15,Q$3)</f>
        <v>0</v>
      </c>
      <c r="R15" s="8" cm="1">
        <f t="array" ref="R15">TakeaChar($H15,R$3)</f>
        <v>1</v>
      </c>
      <c r="S15" s="8" cm="1">
        <f t="array" ref="S15">TakeaChar($H15,S$3)</f>
        <v>0</v>
      </c>
      <c r="T15" s="8" cm="1">
        <f t="array" ref="T15">TakeaChar($H15,T$3)</f>
        <v>1</v>
      </c>
      <c r="U15" s="8" cm="1">
        <f t="array" ref="U15">TakeaChar($H15,U$3)</f>
        <v>0</v>
      </c>
      <c r="V15" s="8" cm="1">
        <f t="array" ref="V15">TakeaChar($H15,V$3)</f>
        <v>0</v>
      </c>
      <c r="W15" s="8" cm="1">
        <f t="array" ref="W15">TakeaChar($H15,W$3)</f>
        <v>0</v>
      </c>
      <c r="X15" s="9" cm="1">
        <f t="array" ref="X15">TakeaChar($H15,X$3)</f>
        <v>1</v>
      </c>
      <c r="Y15" s="17"/>
    </row>
    <row r="18" spans="7:28" ht="17" thickBot="1" x14ac:dyDescent="0.25"/>
    <row r="19" spans="7:28" x14ac:dyDescent="0.2">
      <c r="I19" s="36">
        <f t="shared" ref="I19" si="1">QUOTIENT(SUM(J19,I20:I21),2)</f>
        <v>0</v>
      </c>
      <c r="J19" s="37">
        <f t="shared" ref="J19" si="2">QUOTIENT(SUM(K19,J20:J21),2)</f>
        <v>0</v>
      </c>
      <c r="K19" s="37">
        <f t="shared" ref="K19" si="3">QUOTIENT(SUM(L19,K20:K21),2)</f>
        <v>0</v>
      </c>
      <c r="L19" s="37">
        <f t="shared" ref="L19" si="4">QUOTIENT(SUM(M19,L20:L21),2)</f>
        <v>0</v>
      </c>
      <c r="M19" s="37">
        <f t="shared" ref="M19" si="5">QUOTIENT(SUM(N19,M20:M21),2)</f>
        <v>0</v>
      </c>
      <c r="N19" s="37">
        <f t="shared" ref="N19" si="6">QUOTIENT(SUM(O19,N20:N21),2)</f>
        <v>0</v>
      </c>
      <c r="O19" s="37">
        <f t="shared" ref="O19" si="7">QUOTIENT(SUM(P19,O20:O21),2)</f>
        <v>0</v>
      </c>
      <c r="P19" s="37">
        <f t="shared" ref="P19" si="8">QUOTIENT(SUM(Q19,P20:P21),2)</f>
        <v>0</v>
      </c>
      <c r="Q19" s="37">
        <f t="shared" ref="Q19" si="9">QUOTIENT(SUM(R19,Q20:Q21),2)</f>
        <v>0</v>
      </c>
      <c r="R19" s="37">
        <f t="shared" ref="R19" si="10">QUOTIENT(SUM(S19,R20:R21),2)</f>
        <v>0</v>
      </c>
      <c r="S19" s="37">
        <f t="shared" ref="S19" si="11">QUOTIENT(SUM(T19,S20:S21),2)</f>
        <v>0</v>
      </c>
      <c r="T19" s="37">
        <f t="shared" ref="T19" si="12">QUOTIENT(SUM(U19,T20:T21),2)</f>
        <v>1</v>
      </c>
      <c r="U19" s="37">
        <f t="shared" ref="U19:V19" si="13">QUOTIENT(SUM(V19,U20:U21),2)</f>
        <v>1</v>
      </c>
      <c r="V19" s="37">
        <f t="shared" si="13"/>
        <v>1</v>
      </c>
      <c r="W19" s="37">
        <f>QUOTIENT(SUM(X19,W20:W21),2)</f>
        <v>1</v>
      </c>
      <c r="X19" s="38">
        <f>IF(SUM(X20:X21)=2,1,0)</f>
        <v>1</v>
      </c>
    </row>
    <row r="20" spans="7:28" x14ac:dyDescent="0.2">
      <c r="G20" s="14"/>
      <c r="H20" s="14" t="s">
        <v>14</v>
      </c>
      <c r="I20" s="39">
        <f>I4</f>
        <v>0</v>
      </c>
      <c r="J20" s="30">
        <f t="shared" ref="J20:W20" si="14">J4</f>
        <v>0</v>
      </c>
      <c r="K20" s="30">
        <f t="shared" si="14"/>
        <v>0</v>
      </c>
      <c r="L20" s="30">
        <f t="shared" si="14"/>
        <v>0</v>
      </c>
      <c r="M20" s="30">
        <f t="shared" si="14"/>
        <v>1</v>
      </c>
      <c r="N20" s="30">
        <f t="shared" si="14"/>
        <v>0</v>
      </c>
      <c r="O20" s="30">
        <f t="shared" si="14"/>
        <v>0</v>
      </c>
      <c r="P20" s="30">
        <f t="shared" si="14"/>
        <v>0</v>
      </c>
      <c r="Q20" s="30">
        <f t="shared" si="14"/>
        <v>0</v>
      </c>
      <c r="R20" s="30">
        <f t="shared" si="14"/>
        <v>0</v>
      </c>
      <c r="S20" s="30">
        <f t="shared" si="14"/>
        <v>0</v>
      </c>
      <c r="T20" s="30">
        <f t="shared" si="14"/>
        <v>1</v>
      </c>
      <c r="U20" s="30">
        <f t="shared" si="14"/>
        <v>1</v>
      </c>
      <c r="V20" s="30">
        <f t="shared" si="14"/>
        <v>1</v>
      </c>
      <c r="W20" s="30">
        <f t="shared" si="14"/>
        <v>1</v>
      </c>
      <c r="X20" s="40">
        <f>X4</f>
        <v>1</v>
      </c>
      <c r="Y20" s="28"/>
      <c r="Z20" s="28">
        <f>F4</f>
        <v>2079</v>
      </c>
    </row>
    <row r="21" spans="7:28" ht="17" thickBot="1" x14ac:dyDescent="0.25">
      <c r="G21" s="14"/>
      <c r="H21" s="14" t="str">
        <f>"+       B2"</f>
        <v>+       B2</v>
      </c>
      <c r="I21" s="41">
        <f>I5</f>
        <v>0</v>
      </c>
      <c r="J21" s="31">
        <f t="shared" ref="J21:X21" si="15">J5</f>
        <v>1</v>
      </c>
      <c r="K21" s="31">
        <f t="shared" si="15"/>
        <v>0</v>
      </c>
      <c r="L21" s="31">
        <f t="shared" si="15"/>
        <v>0</v>
      </c>
      <c r="M21" s="31">
        <f t="shared" si="15"/>
        <v>0</v>
      </c>
      <c r="N21" s="31">
        <f t="shared" si="15"/>
        <v>0</v>
      </c>
      <c r="O21" s="31">
        <f t="shared" si="15"/>
        <v>0</v>
      </c>
      <c r="P21" s="31">
        <f t="shared" si="15"/>
        <v>1</v>
      </c>
      <c r="Q21" s="31">
        <f t="shared" si="15"/>
        <v>1</v>
      </c>
      <c r="R21" s="31">
        <f t="shared" si="15"/>
        <v>0</v>
      </c>
      <c r="S21" s="31">
        <f t="shared" si="15"/>
        <v>0</v>
      </c>
      <c r="T21" s="31">
        <f t="shared" si="15"/>
        <v>1</v>
      </c>
      <c r="U21" s="31">
        <f t="shared" si="15"/>
        <v>1</v>
      </c>
      <c r="V21" s="31">
        <f t="shared" si="15"/>
        <v>0</v>
      </c>
      <c r="W21" s="31">
        <f t="shared" si="15"/>
        <v>0</v>
      </c>
      <c r="X21" s="42">
        <f t="shared" si="15"/>
        <v>1</v>
      </c>
      <c r="Y21" s="28"/>
      <c r="Z21" s="45">
        <f>F5</f>
        <v>16793</v>
      </c>
    </row>
    <row r="22" spans="7:28" ht="18" thickBot="1" x14ac:dyDescent="0.25">
      <c r="H22" s="51">
        <f>I19</f>
        <v>0</v>
      </c>
      <c r="I22" s="50">
        <f>MOD(SUM(I20:I21,J19),2)</f>
        <v>0</v>
      </c>
      <c r="J22" s="33">
        <f t="shared" ref="J22" si="16">MOD(SUM(J20:J21,K19),2)</f>
        <v>1</v>
      </c>
      <c r="K22" s="33">
        <f t="shared" ref="K22" si="17">MOD(SUM(K20:K21,L19),2)</f>
        <v>0</v>
      </c>
      <c r="L22" s="33">
        <f t="shared" ref="L22" si="18">MOD(SUM(L20:L21,M19),2)</f>
        <v>0</v>
      </c>
      <c r="M22" s="33">
        <f t="shared" ref="M22" si="19">MOD(SUM(M20:M21,N19),2)</f>
        <v>1</v>
      </c>
      <c r="N22" s="33">
        <f t="shared" ref="N22" si="20">MOD(SUM(N20:N21,O19),2)</f>
        <v>0</v>
      </c>
      <c r="O22" s="33">
        <f t="shared" ref="O22" si="21">MOD(SUM(O20:O21,P19),2)</f>
        <v>0</v>
      </c>
      <c r="P22" s="33">
        <f t="shared" ref="P22" si="22">MOD(SUM(P20:P21,Q19),2)</f>
        <v>1</v>
      </c>
      <c r="Q22" s="33">
        <f t="shared" ref="Q22" si="23">MOD(SUM(Q20:Q21,R19),2)</f>
        <v>1</v>
      </c>
      <c r="R22" s="33">
        <f t="shared" ref="R22" si="24">MOD(SUM(R20:R21,S19),2)</f>
        <v>0</v>
      </c>
      <c r="S22" s="33">
        <f t="shared" ref="S22" si="25">MOD(SUM(S20:S21,T19),2)</f>
        <v>1</v>
      </c>
      <c r="T22" s="33">
        <f t="shared" ref="T22" si="26">MOD(SUM(T20:T21,U19),2)</f>
        <v>1</v>
      </c>
      <c r="U22" s="32">
        <f t="shared" ref="U22:V22" si="27">MOD(SUM(U20:U21,V19),2)</f>
        <v>1</v>
      </c>
      <c r="V22" s="32">
        <f t="shared" si="27"/>
        <v>0</v>
      </c>
      <c r="W22" s="32">
        <f>MOD(SUM(W20:W21,X19),2)</f>
        <v>0</v>
      </c>
      <c r="X22" s="44">
        <f>MOD(SUM(X20:X21),2)</f>
        <v>0</v>
      </c>
      <c r="Y22" s="29" t="str">
        <f>"="</f>
        <v>=</v>
      </c>
      <c r="Z22" s="28" cm="1">
        <f t="array" ref="Z22">BinToaDec(H22:X22)</f>
        <v>18872</v>
      </c>
      <c r="AB22" s="53" t="str" cm="1">
        <f t="array" ref="AB22">SetComment(Z20,Z21,Z22,H22)</f>
        <v>Результат корректный</v>
      </c>
    </row>
    <row r="23" spans="7:28" ht="17" thickBot="1" x14ac:dyDescent="0.25">
      <c r="I23" s="34" t="s">
        <v>26</v>
      </c>
      <c r="J23" s="35">
        <f>I19</f>
        <v>0</v>
      </c>
      <c r="K23" s="34" t="s">
        <v>27</v>
      </c>
      <c r="L23" s="35">
        <f>IF(MOD(SUM(I22:X22),2)=0,1,0)</f>
        <v>0</v>
      </c>
      <c r="M23" s="34" t="s">
        <v>28</v>
      </c>
      <c r="N23" s="35">
        <f>U19</f>
        <v>1</v>
      </c>
      <c r="O23" s="34" t="s">
        <v>29</v>
      </c>
      <c r="P23" s="35">
        <f>IF(SUM(I22:X22)=0,1,0)</f>
        <v>0</v>
      </c>
      <c r="Q23" s="34" t="s">
        <v>30</v>
      </c>
      <c r="R23" s="35">
        <f>I22</f>
        <v>0</v>
      </c>
      <c r="S23" s="34" t="s">
        <v>31</v>
      </c>
      <c r="T23" s="35">
        <f>IF(I19=J19,0,1)</f>
        <v>0</v>
      </c>
      <c r="U23" s="48"/>
      <c r="V23" s="48"/>
      <c r="W23" s="48"/>
      <c r="X23" s="49"/>
      <c r="Y23" s="29"/>
    </row>
    <row r="24" spans="7:28" x14ac:dyDescent="0.2">
      <c r="I24" s="36">
        <f t="shared" ref="I24" si="28">QUOTIENT(SUM(J24,I25:I26),2)</f>
        <v>0</v>
      </c>
      <c r="J24" s="37">
        <f t="shared" ref="J24" si="29">QUOTIENT(SUM(K24,J25:J26),2)</f>
        <v>1</v>
      </c>
      <c r="K24" s="37">
        <f t="shared" ref="K24" si="30">QUOTIENT(SUM(L24,K25:K26),2)</f>
        <v>0</v>
      </c>
      <c r="L24" s="37">
        <f t="shared" ref="L24" si="31">QUOTIENT(SUM(M24,L25:L26),2)</f>
        <v>0</v>
      </c>
      <c r="M24" s="37">
        <f t="shared" ref="M24" si="32">QUOTIENT(SUM(N24,M25:M26),2)</f>
        <v>0</v>
      </c>
      <c r="N24" s="37">
        <f t="shared" ref="N24" si="33">QUOTIENT(SUM(O24,N25:N26),2)</f>
        <v>0</v>
      </c>
      <c r="O24" s="37">
        <f t="shared" ref="O24" si="34">QUOTIENT(SUM(P24,O25:O26),2)</f>
        <v>0</v>
      </c>
      <c r="P24" s="37">
        <f t="shared" ref="P24" si="35">QUOTIENT(SUM(Q24,P25:P26),2)</f>
        <v>1</v>
      </c>
      <c r="Q24" s="37">
        <f t="shared" ref="Q24" si="36">QUOTIENT(SUM(R24,Q25:Q26),2)</f>
        <v>1</v>
      </c>
      <c r="R24" s="37">
        <f t="shared" ref="R24" si="37">QUOTIENT(SUM(S24,R25:R26),2)</f>
        <v>0</v>
      </c>
      <c r="S24" s="37">
        <f t="shared" ref="S24" si="38">QUOTIENT(SUM(T24,S25:S26),2)</f>
        <v>1</v>
      </c>
      <c r="T24" s="37">
        <f t="shared" ref="T24" si="39">QUOTIENT(SUM(U24,T25:T26),2)</f>
        <v>1</v>
      </c>
      <c r="U24" s="37">
        <f t="shared" ref="U24" si="40">QUOTIENT(SUM(V24,U25:U26),2)</f>
        <v>1</v>
      </c>
      <c r="V24" s="37">
        <f t="shared" ref="V24" si="41">QUOTIENT(SUM(W24,V25:V26),2)</f>
        <v>0</v>
      </c>
      <c r="W24" s="37">
        <f>QUOTIENT(SUM(X24,W25:W26),2)</f>
        <v>0</v>
      </c>
      <c r="X24" s="38">
        <f>IF(SUM(X25:X26)=2,1,0)</f>
        <v>0</v>
      </c>
      <c r="Y24" s="28"/>
    </row>
    <row r="25" spans="7:28" x14ac:dyDescent="0.2">
      <c r="H25" s="14" t="s">
        <v>15</v>
      </c>
      <c r="I25" s="39">
        <f>I5</f>
        <v>0</v>
      </c>
      <c r="J25" s="30">
        <f t="shared" ref="J25:X26" si="42">J5</f>
        <v>1</v>
      </c>
      <c r="K25" s="30">
        <f t="shared" si="42"/>
        <v>0</v>
      </c>
      <c r="L25" s="30">
        <f t="shared" si="42"/>
        <v>0</v>
      </c>
      <c r="M25" s="30">
        <f t="shared" si="42"/>
        <v>0</v>
      </c>
      <c r="N25" s="30">
        <f t="shared" si="42"/>
        <v>0</v>
      </c>
      <c r="O25" s="30">
        <f t="shared" si="42"/>
        <v>0</v>
      </c>
      <c r="P25" s="30">
        <f t="shared" si="42"/>
        <v>1</v>
      </c>
      <c r="Q25" s="30">
        <f t="shared" si="42"/>
        <v>1</v>
      </c>
      <c r="R25" s="30">
        <f t="shared" si="42"/>
        <v>0</v>
      </c>
      <c r="S25" s="30">
        <f t="shared" si="42"/>
        <v>0</v>
      </c>
      <c r="T25" s="30">
        <f t="shared" si="42"/>
        <v>1</v>
      </c>
      <c r="U25" s="30">
        <f t="shared" si="42"/>
        <v>1</v>
      </c>
      <c r="V25" s="30">
        <f t="shared" si="42"/>
        <v>0</v>
      </c>
      <c r="W25" s="30">
        <f t="shared" si="42"/>
        <v>0</v>
      </c>
      <c r="X25" s="40">
        <f t="shared" si="42"/>
        <v>1</v>
      </c>
      <c r="Y25" s="28"/>
      <c r="Z25" s="28">
        <f>F5</f>
        <v>16793</v>
      </c>
    </row>
    <row r="26" spans="7:28" ht="17" thickBot="1" x14ac:dyDescent="0.25">
      <c r="H26" s="14" t="s">
        <v>16</v>
      </c>
      <c r="I26" s="41">
        <f>I6</f>
        <v>0</v>
      </c>
      <c r="J26" s="31">
        <f t="shared" si="42"/>
        <v>1</v>
      </c>
      <c r="K26" s="31">
        <f t="shared" si="42"/>
        <v>0</v>
      </c>
      <c r="L26" s="31">
        <f t="shared" si="42"/>
        <v>0</v>
      </c>
      <c r="M26" s="31">
        <f t="shared" si="42"/>
        <v>1</v>
      </c>
      <c r="N26" s="31">
        <f t="shared" si="42"/>
        <v>0</v>
      </c>
      <c r="O26" s="31">
        <f t="shared" si="42"/>
        <v>0</v>
      </c>
      <c r="P26" s="31">
        <f t="shared" si="42"/>
        <v>1</v>
      </c>
      <c r="Q26" s="31">
        <f t="shared" si="42"/>
        <v>1</v>
      </c>
      <c r="R26" s="31">
        <f t="shared" si="42"/>
        <v>0</v>
      </c>
      <c r="S26" s="31">
        <f t="shared" si="42"/>
        <v>1</v>
      </c>
      <c r="T26" s="31">
        <f t="shared" si="42"/>
        <v>1</v>
      </c>
      <c r="U26" s="31">
        <f t="shared" si="42"/>
        <v>1</v>
      </c>
      <c r="V26" s="31">
        <f t="shared" si="42"/>
        <v>0</v>
      </c>
      <c r="W26" s="31">
        <f t="shared" si="42"/>
        <v>0</v>
      </c>
      <c r="X26" s="42">
        <f t="shared" si="42"/>
        <v>0</v>
      </c>
      <c r="Y26" s="28"/>
      <c r="Z26" s="45">
        <f>F6</f>
        <v>18872</v>
      </c>
    </row>
    <row r="27" spans="7:28" ht="17" thickBot="1" x14ac:dyDescent="0.25">
      <c r="H27" s="51">
        <f>I24</f>
        <v>0</v>
      </c>
      <c r="I27" s="43">
        <f t="shared" ref="I27" si="43">MOD(SUM(I25:I26,J24),2)</f>
        <v>1</v>
      </c>
      <c r="J27" s="32">
        <f t="shared" ref="J27" si="44">MOD(SUM(J25:J26,K24),2)</f>
        <v>0</v>
      </c>
      <c r="K27" s="32">
        <f t="shared" ref="K27" si="45">MOD(SUM(K25:K26,L24),2)</f>
        <v>0</v>
      </c>
      <c r="L27" s="32">
        <f t="shared" ref="L27" si="46">MOD(SUM(L25:L26,M24),2)</f>
        <v>0</v>
      </c>
      <c r="M27" s="32">
        <f t="shared" ref="M27" si="47">MOD(SUM(M25:M26,N24),2)</f>
        <v>1</v>
      </c>
      <c r="N27" s="32">
        <f t="shared" ref="N27" si="48">MOD(SUM(N25:N26,O24),2)</f>
        <v>0</v>
      </c>
      <c r="O27" s="32">
        <f t="shared" ref="O27" si="49">MOD(SUM(O25:O26,P24),2)</f>
        <v>1</v>
      </c>
      <c r="P27" s="32">
        <f t="shared" ref="P27" si="50">MOD(SUM(P25:P26,Q24),2)</f>
        <v>1</v>
      </c>
      <c r="Q27" s="32">
        <f t="shared" ref="Q27" si="51">MOD(SUM(Q25:Q26,R24),2)</f>
        <v>0</v>
      </c>
      <c r="R27" s="32">
        <f t="shared" ref="R27" si="52">MOD(SUM(R25:R26,S24),2)</f>
        <v>1</v>
      </c>
      <c r="S27" s="32">
        <f t="shared" ref="S27" si="53">MOD(SUM(S25:S26,T24),2)</f>
        <v>0</v>
      </c>
      <c r="T27" s="32">
        <f t="shared" ref="T27" si="54">MOD(SUM(T25:T26,U24),2)</f>
        <v>1</v>
      </c>
      <c r="U27" s="32">
        <f t="shared" ref="U27" si="55">MOD(SUM(U25:U26,V24),2)</f>
        <v>0</v>
      </c>
      <c r="V27" s="32">
        <f t="shared" ref="V27" si="56">MOD(SUM(V25:V26,W24),2)</f>
        <v>0</v>
      </c>
      <c r="W27" s="32">
        <f>MOD(SUM(W25:W26,X24),2)</f>
        <v>0</v>
      </c>
      <c r="X27" s="44">
        <f>MOD(SUM(X25:X26),2)</f>
        <v>1</v>
      </c>
      <c r="Y27" s="29" t="str">
        <f>"="</f>
        <v>=</v>
      </c>
      <c r="Z27" s="28" cm="1">
        <f t="array" ref="Z27">BinToaDec(H27:X27)</f>
        <v>-29871</v>
      </c>
      <c r="AB27" s="52" t="str" cm="1">
        <f t="array" ref="AB27">SetComment(Z25,Z26,Z27,H27)</f>
        <v>В результате сложения двух положительных чисел получился отрицательный результат. ПЕРЕПОЛНЕНИЕ</v>
      </c>
    </row>
    <row r="28" spans="7:28" ht="17" thickBot="1" x14ac:dyDescent="0.25">
      <c r="H28" s="14"/>
      <c r="I28" s="34" t="s">
        <v>26</v>
      </c>
      <c r="J28" s="35">
        <f>I24</f>
        <v>0</v>
      </c>
      <c r="K28" s="34" t="s">
        <v>27</v>
      </c>
      <c r="L28" s="35">
        <f>IF(MOD(SUM(I27:X27),2)=0,1,0)</f>
        <v>0</v>
      </c>
      <c r="M28" s="34" t="s">
        <v>28</v>
      </c>
      <c r="N28" s="35">
        <f>U24</f>
        <v>1</v>
      </c>
      <c r="O28" s="34" t="s">
        <v>29</v>
      </c>
      <c r="P28" s="35">
        <f>IF(SUM(I27:X27)=0,1,0)</f>
        <v>0</v>
      </c>
      <c r="Q28" s="34" t="s">
        <v>30</v>
      </c>
      <c r="R28" s="35">
        <f>I27</f>
        <v>1</v>
      </c>
      <c r="S28" s="34" t="s">
        <v>31</v>
      </c>
      <c r="T28" s="35">
        <f>IF(I24=J24,0,1)</f>
        <v>1</v>
      </c>
      <c r="U28" s="48"/>
      <c r="V28" s="48"/>
      <c r="W28" s="48"/>
      <c r="X28" s="49"/>
      <c r="Y28" s="29"/>
      <c r="Z28" s="28"/>
    </row>
    <row r="29" spans="7:28" x14ac:dyDescent="0.2">
      <c r="H29" s="14"/>
      <c r="I29" s="36">
        <f t="shared" ref="I29" si="57">QUOTIENT(SUM(J29,I30:I31),2)</f>
        <v>1</v>
      </c>
      <c r="J29" s="37">
        <f t="shared" ref="J29" si="58">QUOTIENT(SUM(K29,J30:J31),2)</f>
        <v>1</v>
      </c>
      <c r="K29" s="37">
        <f t="shared" ref="K29" si="59">QUOTIENT(SUM(L29,K30:K31),2)</f>
        <v>0</v>
      </c>
      <c r="L29" s="37">
        <f t="shared" ref="L29" si="60">QUOTIENT(SUM(M29,L30:L31),2)</f>
        <v>0</v>
      </c>
      <c r="M29" s="37">
        <f t="shared" ref="M29" si="61">QUOTIENT(SUM(N29,M30:M31),2)</f>
        <v>0</v>
      </c>
      <c r="N29" s="37">
        <f t="shared" ref="N29" si="62">QUOTIENT(SUM(O29,N30:N31),2)</f>
        <v>1</v>
      </c>
      <c r="O29" s="37">
        <f t="shared" ref="O29" si="63">QUOTIENT(SUM(P29,O30:O31),2)</f>
        <v>1</v>
      </c>
      <c r="P29" s="37">
        <f t="shared" ref="P29" si="64">QUOTIENT(SUM(Q29,P30:P31),2)</f>
        <v>1</v>
      </c>
      <c r="Q29" s="37">
        <f t="shared" ref="Q29" si="65">QUOTIENT(SUM(R29,Q30:Q31),2)</f>
        <v>1</v>
      </c>
      <c r="R29" s="37">
        <f t="shared" ref="R29" si="66">QUOTIENT(SUM(S29,R30:R31),2)</f>
        <v>0</v>
      </c>
      <c r="S29" s="37">
        <f t="shared" ref="S29" si="67">QUOTIENT(SUM(T29,S30:S31),2)</f>
        <v>0</v>
      </c>
      <c r="T29" s="37">
        <f t="shared" ref="T29" si="68">QUOTIENT(SUM(U29,T30:T31),2)</f>
        <v>0</v>
      </c>
      <c r="U29" s="37">
        <f t="shared" ref="U29" si="69">QUOTIENT(SUM(V29,U30:U31),2)</f>
        <v>0</v>
      </c>
      <c r="V29" s="37">
        <f t="shared" ref="V29" si="70">QUOTIENT(SUM(W29,V30:V31),2)</f>
        <v>0</v>
      </c>
      <c r="W29" s="37">
        <f>QUOTIENT(SUM(X29,W30:W31),2)</f>
        <v>0</v>
      </c>
      <c r="X29" s="38">
        <f>IF(SUM(X30:X31)=2,1,0)</f>
        <v>1</v>
      </c>
      <c r="Y29" s="28"/>
      <c r="Z29" s="28"/>
    </row>
    <row r="30" spans="7:28" x14ac:dyDescent="0.2">
      <c r="H30" s="14" t="s">
        <v>15</v>
      </c>
      <c r="I30" s="39">
        <f>I5</f>
        <v>0</v>
      </c>
      <c r="J30" s="30">
        <f t="shared" ref="J30:X30" si="71">J5</f>
        <v>1</v>
      </c>
      <c r="K30" s="30">
        <f t="shared" si="71"/>
        <v>0</v>
      </c>
      <c r="L30" s="30">
        <f t="shared" si="71"/>
        <v>0</v>
      </c>
      <c r="M30" s="30">
        <f t="shared" si="71"/>
        <v>0</v>
      </c>
      <c r="N30" s="30">
        <f t="shared" si="71"/>
        <v>0</v>
      </c>
      <c r="O30" s="30">
        <f t="shared" si="71"/>
        <v>0</v>
      </c>
      <c r="P30" s="30">
        <f t="shared" si="71"/>
        <v>1</v>
      </c>
      <c r="Q30" s="30">
        <f t="shared" si="71"/>
        <v>1</v>
      </c>
      <c r="R30" s="30">
        <f t="shared" si="71"/>
        <v>0</v>
      </c>
      <c r="S30" s="30">
        <f t="shared" si="71"/>
        <v>0</v>
      </c>
      <c r="T30" s="30">
        <f t="shared" si="71"/>
        <v>1</v>
      </c>
      <c r="U30" s="30">
        <f t="shared" si="71"/>
        <v>1</v>
      </c>
      <c r="V30" s="30">
        <f t="shared" si="71"/>
        <v>0</v>
      </c>
      <c r="W30" s="30">
        <f t="shared" si="71"/>
        <v>0</v>
      </c>
      <c r="X30" s="40">
        <f t="shared" si="71"/>
        <v>1</v>
      </c>
      <c r="Y30" s="28"/>
      <c r="Z30" s="28">
        <f>F5</f>
        <v>16793</v>
      </c>
    </row>
    <row r="31" spans="7:28" ht="17" thickBot="1" x14ac:dyDescent="0.25">
      <c r="H31" s="14" t="s">
        <v>20</v>
      </c>
      <c r="I31" s="41">
        <f>I10</f>
        <v>1</v>
      </c>
      <c r="J31" s="31">
        <f t="shared" ref="J31:X31" si="72">J10</f>
        <v>1</v>
      </c>
      <c r="K31" s="31">
        <f t="shared" si="72"/>
        <v>1</v>
      </c>
      <c r="L31" s="31">
        <f t="shared" si="72"/>
        <v>1</v>
      </c>
      <c r="M31" s="31">
        <f t="shared" si="72"/>
        <v>0</v>
      </c>
      <c r="N31" s="31">
        <f t="shared" si="72"/>
        <v>1</v>
      </c>
      <c r="O31" s="31">
        <f t="shared" si="72"/>
        <v>1</v>
      </c>
      <c r="P31" s="31">
        <f t="shared" si="72"/>
        <v>1</v>
      </c>
      <c r="Q31" s="31">
        <f t="shared" si="72"/>
        <v>1</v>
      </c>
      <c r="R31" s="31">
        <f t="shared" si="72"/>
        <v>1</v>
      </c>
      <c r="S31" s="31">
        <f t="shared" si="72"/>
        <v>1</v>
      </c>
      <c r="T31" s="31">
        <f t="shared" si="72"/>
        <v>0</v>
      </c>
      <c r="U31" s="31">
        <f t="shared" si="72"/>
        <v>0</v>
      </c>
      <c r="V31" s="31">
        <f t="shared" si="72"/>
        <v>0</v>
      </c>
      <c r="W31" s="31">
        <f t="shared" si="72"/>
        <v>0</v>
      </c>
      <c r="X31" s="42">
        <f t="shared" si="72"/>
        <v>1</v>
      </c>
      <c r="Y31" s="28"/>
      <c r="Z31" s="45">
        <f>F10</f>
        <v>-2079</v>
      </c>
    </row>
    <row r="32" spans="7:28" ht="17" thickBot="1" x14ac:dyDescent="0.25">
      <c r="H32" s="51">
        <f>I29</f>
        <v>1</v>
      </c>
      <c r="I32" s="43">
        <f t="shared" ref="I32" si="73">MOD(SUM(I30:I31,J29),2)</f>
        <v>0</v>
      </c>
      <c r="J32" s="32">
        <f t="shared" ref="J32" si="74">MOD(SUM(J30:J31,K29),2)</f>
        <v>0</v>
      </c>
      <c r="K32" s="32">
        <f t="shared" ref="K32" si="75">MOD(SUM(K30:K31,L29),2)</f>
        <v>1</v>
      </c>
      <c r="L32" s="32">
        <f t="shared" ref="L32" si="76">MOD(SUM(L30:L31,M29),2)</f>
        <v>1</v>
      </c>
      <c r="M32" s="32">
        <f t="shared" ref="M32" si="77">MOD(SUM(M30:M31,N29),2)</f>
        <v>1</v>
      </c>
      <c r="N32" s="32">
        <f t="shared" ref="N32" si="78">MOD(SUM(N30:N31,O29),2)</f>
        <v>0</v>
      </c>
      <c r="O32" s="32">
        <f t="shared" ref="O32" si="79">MOD(SUM(O30:O31,P29),2)</f>
        <v>0</v>
      </c>
      <c r="P32" s="32">
        <f t="shared" ref="P32" si="80">MOD(SUM(P30:P31,Q29),2)</f>
        <v>1</v>
      </c>
      <c r="Q32" s="32">
        <f t="shared" ref="Q32" si="81">MOD(SUM(Q30:Q31,R29),2)</f>
        <v>0</v>
      </c>
      <c r="R32" s="32">
        <f t="shared" ref="R32" si="82">MOD(SUM(R30:R31,S29),2)</f>
        <v>1</v>
      </c>
      <c r="S32" s="32">
        <f t="shared" ref="S32" si="83">MOD(SUM(S30:S31,T29),2)</f>
        <v>1</v>
      </c>
      <c r="T32" s="32">
        <f t="shared" ref="T32" si="84">MOD(SUM(T30:T31,U29),2)</f>
        <v>1</v>
      </c>
      <c r="U32" s="32">
        <f t="shared" ref="U32" si="85">MOD(SUM(U30:U31,V29),2)</f>
        <v>1</v>
      </c>
      <c r="V32" s="32">
        <f t="shared" ref="V32" si="86">MOD(SUM(V30:V31,W29),2)</f>
        <v>0</v>
      </c>
      <c r="W32" s="32">
        <f>MOD(SUM(W30:W31,X29),2)</f>
        <v>1</v>
      </c>
      <c r="X32" s="44">
        <f>MOD(SUM(X30:X31),2)</f>
        <v>0</v>
      </c>
      <c r="Y32" s="29" t="str">
        <f>"="</f>
        <v>=</v>
      </c>
      <c r="Z32" s="28" cm="1">
        <f t="array" ref="Z32">BinToaDec(H32:X32)</f>
        <v>14714</v>
      </c>
      <c r="AB32" s="52" t="str" cm="1">
        <f t="array" ref="AB32">SetComment(Z30,Z31,Z32,H32)</f>
        <v>Результат корректный. Перенос из старшего разряда не учитывается.</v>
      </c>
    </row>
    <row r="33" spans="8:28" ht="17" thickBot="1" x14ac:dyDescent="0.25">
      <c r="H33" s="14"/>
      <c r="I33" s="34" t="s">
        <v>26</v>
      </c>
      <c r="J33" s="35">
        <f>I29</f>
        <v>1</v>
      </c>
      <c r="K33" s="34" t="s">
        <v>27</v>
      </c>
      <c r="L33" s="35">
        <f>IF(MOD(SUM(I32:X32),2)=0,1,0)</f>
        <v>0</v>
      </c>
      <c r="M33" s="34" t="s">
        <v>28</v>
      </c>
      <c r="N33" s="35">
        <f>U29</f>
        <v>0</v>
      </c>
      <c r="O33" s="34" t="s">
        <v>29</v>
      </c>
      <c r="P33" s="35">
        <f>IF(SUM(I32:X32)=0,1,0)</f>
        <v>0</v>
      </c>
      <c r="Q33" s="34" t="s">
        <v>30</v>
      </c>
      <c r="R33" s="35">
        <f>I32</f>
        <v>0</v>
      </c>
      <c r="S33" s="34" t="s">
        <v>31</v>
      </c>
      <c r="T33" s="35">
        <f>IF(I29=J29,0,1)</f>
        <v>0</v>
      </c>
      <c r="U33" s="48"/>
      <c r="V33" s="48"/>
      <c r="W33" s="48"/>
      <c r="X33" s="49"/>
      <c r="Y33" s="29"/>
      <c r="Z33" s="28"/>
    </row>
    <row r="34" spans="8:28" x14ac:dyDescent="0.2">
      <c r="H34" s="14"/>
      <c r="I34" s="36">
        <f t="shared" ref="I34" si="87">QUOTIENT(SUM(J34,I35:I36),2)</f>
        <v>1</v>
      </c>
      <c r="J34" s="37">
        <f t="shared" ref="J34" si="88">QUOTIENT(SUM(K34,J35:J36),2)</f>
        <v>1</v>
      </c>
      <c r="K34" s="37">
        <f t="shared" ref="K34" si="89">QUOTIENT(SUM(L34,K35:K36),2)</f>
        <v>1</v>
      </c>
      <c r="L34" s="37">
        <f t="shared" ref="L34" si="90">QUOTIENT(SUM(M34,L35:L36),2)</f>
        <v>1</v>
      </c>
      <c r="M34" s="37">
        <f t="shared" ref="M34" si="91">QUOTIENT(SUM(N34,M35:M36),2)</f>
        <v>1</v>
      </c>
      <c r="N34" s="37">
        <f t="shared" ref="N34" si="92">QUOTIENT(SUM(O34,N35:N36),2)</f>
        <v>1</v>
      </c>
      <c r="O34" s="37">
        <f t="shared" ref="O34" si="93">QUOTIENT(SUM(P34,O35:O36),2)</f>
        <v>1</v>
      </c>
      <c r="P34" s="37">
        <f t="shared" ref="P34" si="94">QUOTIENT(SUM(Q34,P35:P36),2)</f>
        <v>1</v>
      </c>
      <c r="Q34" s="37">
        <f t="shared" ref="Q34" si="95">QUOTIENT(SUM(R34,Q35:Q36),2)</f>
        <v>1</v>
      </c>
      <c r="R34" s="37">
        <f t="shared" ref="R34" si="96">QUOTIENT(SUM(S34,R35:R36),2)</f>
        <v>1</v>
      </c>
      <c r="S34" s="37">
        <f t="shared" ref="S34" si="97">QUOTIENT(SUM(T34,S35:S36),2)</f>
        <v>1</v>
      </c>
      <c r="T34" s="37">
        <f t="shared" ref="T34" si="98">QUOTIENT(SUM(U34,T35:T36),2)</f>
        <v>0</v>
      </c>
      <c r="U34" s="37">
        <f t="shared" ref="U34" si="99">QUOTIENT(SUM(V34,U35:U36),2)</f>
        <v>0</v>
      </c>
      <c r="V34" s="37">
        <f t="shared" ref="V34" si="100">QUOTIENT(SUM(W34,V35:V36),2)</f>
        <v>1</v>
      </c>
      <c r="W34" s="37">
        <f>QUOTIENT(SUM(X34,W35:W36),2)</f>
        <v>1</v>
      </c>
      <c r="X34" s="38">
        <f>IF(SUM(X35:X36)=2,1,0)</f>
        <v>1</v>
      </c>
      <c r="Y34" s="28"/>
      <c r="Z34" s="28"/>
    </row>
    <row r="35" spans="8:28" x14ac:dyDescent="0.2">
      <c r="H35" s="14" t="s">
        <v>20</v>
      </c>
      <c r="I35" s="39">
        <f>I10</f>
        <v>1</v>
      </c>
      <c r="J35" s="30">
        <f t="shared" ref="J35:X35" si="101">J10</f>
        <v>1</v>
      </c>
      <c r="K35" s="30">
        <f t="shared" si="101"/>
        <v>1</v>
      </c>
      <c r="L35" s="30">
        <f t="shared" si="101"/>
        <v>1</v>
      </c>
      <c r="M35" s="30">
        <f t="shared" si="101"/>
        <v>0</v>
      </c>
      <c r="N35" s="30">
        <f t="shared" si="101"/>
        <v>1</v>
      </c>
      <c r="O35" s="30">
        <f t="shared" si="101"/>
        <v>1</v>
      </c>
      <c r="P35" s="30">
        <f t="shared" si="101"/>
        <v>1</v>
      </c>
      <c r="Q35" s="30">
        <f t="shared" si="101"/>
        <v>1</v>
      </c>
      <c r="R35" s="30">
        <f t="shared" si="101"/>
        <v>1</v>
      </c>
      <c r="S35" s="30">
        <f t="shared" si="101"/>
        <v>1</v>
      </c>
      <c r="T35" s="30">
        <f t="shared" si="101"/>
        <v>0</v>
      </c>
      <c r="U35" s="30">
        <f t="shared" si="101"/>
        <v>0</v>
      </c>
      <c r="V35" s="30">
        <f t="shared" si="101"/>
        <v>0</v>
      </c>
      <c r="W35" s="30">
        <f t="shared" si="101"/>
        <v>0</v>
      </c>
      <c r="X35" s="40">
        <f t="shared" si="101"/>
        <v>1</v>
      </c>
      <c r="Y35" s="28"/>
      <c r="Z35" s="28">
        <f>F10</f>
        <v>-2079</v>
      </c>
    </row>
    <row r="36" spans="8:28" ht="17" thickBot="1" x14ac:dyDescent="0.25">
      <c r="H36" s="14" t="s">
        <v>21</v>
      </c>
      <c r="I36" s="41">
        <f>I11</f>
        <v>1</v>
      </c>
      <c r="J36" s="31">
        <f t="shared" ref="J36:X36" si="102">J11</f>
        <v>0</v>
      </c>
      <c r="K36" s="31">
        <f t="shared" si="102"/>
        <v>1</v>
      </c>
      <c r="L36" s="31">
        <f t="shared" si="102"/>
        <v>1</v>
      </c>
      <c r="M36" s="31">
        <f t="shared" si="102"/>
        <v>1</v>
      </c>
      <c r="N36" s="31">
        <f t="shared" si="102"/>
        <v>1</v>
      </c>
      <c r="O36" s="31">
        <f t="shared" si="102"/>
        <v>1</v>
      </c>
      <c r="P36" s="31">
        <f t="shared" si="102"/>
        <v>0</v>
      </c>
      <c r="Q36" s="31">
        <f t="shared" si="102"/>
        <v>0</v>
      </c>
      <c r="R36" s="31">
        <f t="shared" si="102"/>
        <v>1</v>
      </c>
      <c r="S36" s="31">
        <f t="shared" si="102"/>
        <v>1</v>
      </c>
      <c r="T36" s="31">
        <f t="shared" si="102"/>
        <v>0</v>
      </c>
      <c r="U36" s="31">
        <f t="shared" si="102"/>
        <v>0</v>
      </c>
      <c r="V36" s="31">
        <f t="shared" si="102"/>
        <v>1</v>
      </c>
      <c r="W36" s="31">
        <f t="shared" si="102"/>
        <v>1</v>
      </c>
      <c r="X36" s="42">
        <f t="shared" si="102"/>
        <v>1</v>
      </c>
      <c r="Y36" s="28"/>
      <c r="Z36" s="45">
        <f>F11</f>
        <v>-16793</v>
      </c>
    </row>
    <row r="37" spans="8:28" ht="17" thickBot="1" x14ac:dyDescent="0.25">
      <c r="H37" s="51">
        <f>I34</f>
        <v>1</v>
      </c>
      <c r="I37" s="43">
        <f t="shared" ref="I37" si="103">MOD(SUM(I35:I36,J34),2)</f>
        <v>1</v>
      </c>
      <c r="J37" s="32">
        <f t="shared" ref="J37" si="104">MOD(SUM(J35:J36,K34),2)</f>
        <v>0</v>
      </c>
      <c r="K37" s="32">
        <f t="shared" ref="K37" si="105">MOD(SUM(K35:K36,L34),2)</f>
        <v>1</v>
      </c>
      <c r="L37" s="32">
        <f t="shared" ref="L37" si="106">MOD(SUM(L35:L36,M34),2)</f>
        <v>1</v>
      </c>
      <c r="M37" s="32">
        <f t="shared" ref="M37" si="107">MOD(SUM(M35:M36,N34),2)</f>
        <v>0</v>
      </c>
      <c r="N37" s="32">
        <f t="shared" ref="N37" si="108">MOD(SUM(N35:N36,O34),2)</f>
        <v>1</v>
      </c>
      <c r="O37" s="32">
        <f t="shared" ref="O37" si="109">MOD(SUM(O35:O36,P34),2)</f>
        <v>1</v>
      </c>
      <c r="P37" s="32">
        <f t="shared" ref="P37" si="110">MOD(SUM(P35:P36,Q34),2)</f>
        <v>0</v>
      </c>
      <c r="Q37" s="32">
        <f t="shared" ref="Q37" si="111">MOD(SUM(Q35:Q36,R34),2)</f>
        <v>0</v>
      </c>
      <c r="R37" s="32">
        <f t="shared" ref="R37" si="112">MOD(SUM(R35:R36,S34),2)</f>
        <v>1</v>
      </c>
      <c r="S37" s="32">
        <f t="shared" ref="S37" si="113">MOD(SUM(S35:S36,T34),2)</f>
        <v>0</v>
      </c>
      <c r="T37" s="32">
        <f t="shared" ref="T37" si="114">MOD(SUM(T35:T36,U34),2)</f>
        <v>0</v>
      </c>
      <c r="U37" s="32">
        <f t="shared" ref="U37" si="115">MOD(SUM(U35:U36,V34),2)</f>
        <v>1</v>
      </c>
      <c r="V37" s="32">
        <f t="shared" ref="V37" si="116">MOD(SUM(V35:V36,W34),2)</f>
        <v>0</v>
      </c>
      <c r="W37" s="32">
        <f>MOD(SUM(W35:W36,X34),2)</f>
        <v>0</v>
      </c>
      <c r="X37" s="44">
        <f>MOD(SUM(X35:X36),2)</f>
        <v>0</v>
      </c>
      <c r="Y37" s="29" t="str">
        <f>"="</f>
        <v>=</v>
      </c>
      <c r="Z37" s="28" cm="1">
        <f t="array" ref="Z37">BinToaDec(H37:X37)</f>
        <v>-18872</v>
      </c>
      <c r="AB37" s="52" t="str" cm="1">
        <f t="array" ref="AB37">SetComment(Z35,Z36,Z37,H37)</f>
        <v>Результат корректный. Перенос из старшего разряда не учитывается.</v>
      </c>
    </row>
    <row r="38" spans="8:28" ht="17" thickBot="1" x14ac:dyDescent="0.25">
      <c r="H38" s="14"/>
      <c r="I38" s="34" t="s">
        <v>26</v>
      </c>
      <c r="J38" s="35">
        <f>I34</f>
        <v>1</v>
      </c>
      <c r="K38" s="34" t="s">
        <v>27</v>
      </c>
      <c r="L38" s="35">
        <f>IF(MOD(SUM(I37:X37),2)=0,1,0)</f>
        <v>0</v>
      </c>
      <c r="M38" s="34" t="s">
        <v>28</v>
      </c>
      <c r="N38" s="35">
        <f>U34</f>
        <v>0</v>
      </c>
      <c r="O38" s="34" t="s">
        <v>29</v>
      </c>
      <c r="P38" s="35">
        <f>IF(SUM(I37:X37)=0,1,0)</f>
        <v>0</v>
      </c>
      <c r="Q38" s="34" t="s">
        <v>30</v>
      </c>
      <c r="R38" s="35">
        <f>I37</f>
        <v>1</v>
      </c>
      <c r="S38" s="34" t="s">
        <v>31</v>
      </c>
      <c r="T38" s="35">
        <f>IF(I34=J34,0,1)</f>
        <v>0</v>
      </c>
      <c r="U38" s="48"/>
      <c r="V38" s="48"/>
      <c r="W38" s="48"/>
      <c r="X38" s="49"/>
      <c r="Y38" s="29"/>
      <c r="Z38" s="28"/>
    </row>
    <row r="39" spans="8:28" x14ac:dyDescent="0.2">
      <c r="H39" s="14"/>
      <c r="I39" s="36">
        <f t="shared" ref="I39" si="117">QUOTIENT(SUM(J39,I40:I41),2)</f>
        <v>1</v>
      </c>
      <c r="J39" s="37">
        <f t="shared" ref="J39" si="118">QUOTIENT(SUM(K39,J40:J41),2)</f>
        <v>0</v>
      </c>
      <c r="K39" s="37">
        <f t="shared" ref="K39" si="119">QUOTIENT(SUM(L39,K40:K41),2)</f>
        <v>1</v>
      </c>
      <c r="L39" s="37">
        <f t="shared" ref="L39" si="120">QUOTIENT(SUM(M39,L40:L41),2)</f>
        <v>1</v>
      </c>
      <c r="M39" s="37">
        <f t="shared" ref="M39" si="121">QUOTIENT(SUM(N39,M40:M41),2)</f>
        <v>1</v>
      </c>
      <c r="N39" s="37">
        <f t="shared" ref="N39" si="122">QUOTIENT(SUM(O39,N40:N41),2)</f>
        <v>1</v>
      </c>
      <c r="O39" s="37">
        <f t="shared" ref="O39" si="123">QUOTIENT(SUM(P39,O40:O41),2)</f>
        <v>1</v>
      </c>
      <c r="P39" s="37">
        <f t="shared" ref="P39" si="124">QUOTIENT(SUM(Q39,P40:P41),2)</f>
        <v>0</v>
      </c>
      <c r="Q39" s="37">
        <f t="shared" ref="Q39" si="125">QUOTIENT(SUM(R39,Q40:Q41),2)</f>
        <v>0</v>
      </c>
      <c r="R39" s="37">
        <f t="shared" ref="R39" si="126">QUOTIENT(SUM(S39,R40:R41),2)</f>
        <v>1</v>
      </c>
      <c r="S39" s="37">
        <f t="shared" ref="S39" si="127">QUOTIENT(SUM(T39,S40:S41),2)</f>
        <v>0</v>
      </c>
      <c r="T39" s="37">
        <f t="shared" ref="T39" si="128">QUOTIENT(SUM(U39,T40:T41),2)</f>
        <v>0</v>
      </c>
      <c r="U39" s="37">
        <f t="shared" ref="U39" si="129">QUOTIENT(SUM(V39,U40:U41),2)</f>
        <v>0</v>
      </c>
      <c r="V39" s="37">
        <f t="shared" ref="V39" si="130">QUOTIENT(SUM(W39,V40:V41),2)</f>
        <v>0</v>
      </c>
      <c r="W39" s="37">
        <f>QUOTIENT(SUM(X39,W40:W41),2)</f>
        <v>0</v>
      </c>
      <c r="X39" s="38">
        <f>IF(SUM(X40:X41)=2,1,0)</f>
        <v>0</v>
      </c>
      <c r="Y39" s="28"/>
      <c r="Z39" s="28"/>
    </row>
    <row r="40" spans="8:28" x14ac:dyDescent="0.2">
      <c r="H40" s="14" t="s">
        <v>21</v>
      </c>
      <c r="I40" s="39">
        <f>I11</f>
        <v>1</v>
      </c>
      <c r="J40" s="30">
        <f t="shared" ref="J40:X40" si="131">J11</f>
        <v>0</v>
      </c>
      <c r="K40" s="30">
        <f t="shared" si="131"/>
        <v>1</v>
      </c>
      <c r="L40" s="30">
        <f t="shared" si="131"/>
        <v>1</v>
      </c>
      <c r="M40" s="30">
        <f t="shared" si="131"/>
        <v>1</v>
      </c>
      <c r="N40" s="30">
        <f t="shared" si="131"/>
        <v>1</v>
      </c>
      <c r="O40" s="30">
        <f t="shared" si="131"/>
        <v>1</v>
      </c>
      <c r="P40" s="30">
        <f t="shared" si="131"/>
        <v>0</v>
      </c>
      <c r="Q40" s="30">
        <f t="shared" si="131"/>
        <v>0</v>
      </c>
      <c r="R40" s="30">
        <f t="shared" si="131"/>
        <v>1</v>
      </c>
      <c r="S40" s="30">
        <f t="shared" si="131"/>
        <v>1</v>
      </c>
      <c r="T40" s="30">
        <f t="shared" si="131"/>
        <v>0</v>
      </c>
      <c r="U40" s="30">
        <f t="shared" si="131"/>
        <v>0</v>
      </c>
      <c r="V40" s="30">
        <f t="shared" si="131"/>
        <v>1</v>
      </c>
      <c r="W40" s="30">
        <f t="shared" si="131"/>
        <v>1</v>
      </c>
      <c r="X40" s="40">
        <f t="shared" si="131"/>
        <v>1</v>
      </c>
      <c r="Y40" s="28"/>
      <c r="Z40" s="28">
        <f>F11</f>
        <v>-16793</v>
      </c>
    </row>
    <row r="41" spans="8:28" x14ac:dyDescent="0.2">
      <c r="H41" s="14" t="s">
        <v>22</v>
      </c>
      <c r="I41" s="41">
        <f>I12</f>
        <v>1</v>
      </c>
      <c r="J41" s="31">
        <f t="shared" ref="J41:X41" si="132">J12</f>
        <v>0</v>
      </c>
      <c r="K41" s="31">
        <f t="shared" si="132"/>
        <v>1</v>
      </c>
      <c r="L41" s="31">
        <f t="shared" si="132"/>
        <v>1</v>
      </c>
      <c r="M41" s="31">
        <f t="shared" si="132"/>
        <v>0</v>
      </c>
      <c r="N41" s="31">
        <f t="shared" si="132"/>
        <v>1</v>
      </c>
      <c r="O41" s="31">
        <f t="shared" si="132"/>
        <v>1</v>
      </c>
      <c r="P41" s="31">
        <f t="shared" si="132"/>
        <v>0</v>
      </c>
      <c r="Q41" s="31">
        <f t="shared" si="132"/>
        <v>0</v>
      </c>
      <c r="R41" s="31">
        <f t="shared" si="132"/>
        <v>1</v>
      </c>
      <c r="S41" s="31">
        <f t="shared" si="132"/>
        <v>0</v>
      </c>
      <c r="T41" s="31">
        <f t="shared" si="132"/>
        <v>0</v>
      </c>
      <c r="U41" s="31">
        <f t="shared" si="132"/>
        <v>1</v>
      </c>
      <c r="V41" s="31">
        <f t="shared" si="132"/>
        <v>0</v>
      </c>
      <c r="W41" s="31">
        <f t="shared" si="132"/>
        <v>0</v>
      </c>
      <c r="X41" s="42">
        <f t="shared" si="132"/>
        <v>0</v>
      </c>
      <c r="Y41" s="28"/>
      <c r="Z41" s="28">
        <f>F12</f>
        <v>-18872</v>
      </c>
    </row>
    <row r="42" spans="8:28" ht="17" thickBot="1" x14ac:dyDescent="0.25">
      <c r="H42" s="51">
        <f>I39</f>
        <v>1</v>
      </c>
      <c r="I42" s="43">
        <f t="shared" ref="I42" si="133">MOD(SUM(I40:I41,J39),2)</f>
        <v>0</v>
      </c>
      <c r="J42" s="32">
        <f t="shared" ref="J42" si="134">MOD(SUM(J40:J41,K39),2)</f>
        <v>1</v>
      </c>
      <c r="K42" s="32">
        <f t="shared" ref="K42" si="135">MOD(SUM(K40:K41,L39),2)</f>
        <v>1</v>
      </c>
      <c r="L42" s="32">
        <f t="shared" ref="L42" si="136">MOD(SUM(L40:L41,M39),2)</f>
        <v>1</v>
      </c>
      <c r="M42" s="32">
        <f t="shared" ref="M42" si="137">MOD(SUM(M40:M41,N39),2)</f>
        <v>0</v>
      </c>
      <c r="N42" s="32">
        <f t="shared" ref="N42" si="138">MOD(SUM(N40:N41,O39),2)</f>
        <v>1</v>
      </c>
      <c r="O42" s="32">
        <f t="shared" ref="O42" si="139">MOD(SUM(O40:O41,P39),2)</f>
        <v>0</v>
      </c>
      <c r="P42" s="32">
        <f t="shared" ref="P42" si="140">MOD(SUM(P40:P41,Q39),2)</f>
        <v>0</v>
      </c>
      <c r="Q42" s="32">
        <f t="shared" ref="Q42" si="141">MOD(SUM(Q40:Q41,R39),2)</f>
        <v>1</v>
      </c>
      <c r="R42" s="32">
        <f t="shared" ref="R42" si="142">MOD(SUM(R40:R41,S39),2)</f>
        <v>0</v>
      </c>
      <c r="S42" s="32">
        <f t="shared" ref="S42" si="143">MOD(SUM(S40:S41,T39),2)</f>
        <v>1</v>
      </c>
      <c r="T42" s="32">
        <f t="shared" ref="T42" si="144">MOD(SUM(T40:T41,U39),2)</f>
        <v>0</v>
      </c>
      <c r="U42" s="32">
        <f t="shared" ref="U42" si="145">MOD(SUM(U40:U41,V39),2)</f>
        <v>1</v>
      </c>
      <c r="V42" s="32">
        <f t="shared" ref="V42" si="146">MOD(SUM(V40:V41,W39),2)</f>
        <v>1</v>
      </c>
      <c r="W42" s="32">
        <f>MOD(SUM(W40:W41,X39),2)</f>
        <v>1</v>
      </c>
      <c r="X42" s="44">
        <f>MOD(SUM(X40:X41),2)</f>
        <v>1</v>
      </c>
      <c r="Y42" s="29" t="str">
        <f>"="</f>
        <v>=</v>
      </c>
      <c r="Z42" s="28" cm="1">
        <f t="array" ref="Z42">BinToaDec(H42:X42)</f>
        <v>29871</v>
      </c>
      <c r="AB42" s="52" t="str" cm="1">
        <f t="array" ref="AB42">SetComment(Z40,Z41,Z42,H42)</f>
        <v>В результате сложения двух отрицательных чисел получился положительный результат. ПЕРЕПОЛНЕНИЕ</v>
      </c>
    </row>
    <row r="43" spans="8:28" ht="17" thickBot="1" x14ac:dyDescent="0.25">
      <c r="H43" s="14"/>
      <c r="I43" s="34" t="s">
        <v>26</v>
      </c>
      <c r="J43" s="35">
        <f>I39</f>
        <v>1</v>
      </c>
      <c r="K43" s="34" t="s">
        <v>27</v>
      </c>
      <c r="L43" s="35">
        <f>IF(MOD(SUM(I42:X42),2)=0,1,0)</f>
        <v>1</v>
      </c>
      <c r="M43" s="34" t="s">
        <v>28</v>
      </c>
      <c r="N43" s="35">
        <f>U39</f>
        <v>0</v>
      </c>
      <c r="O43" s="34" t="s">
        <v>29</v>
      </c>
      <c r="P43" s="35">
        <f>IF(SUM(I42:X42)=0,1,0)</f>
        <v>0</v>
      </c>
      <c r="Q43" s="34" t="s">
        <v>30</v>
      </c>
      <c r="R43" s="35">
        <f>I42</f>
        <v>0</v>
      </c>
      <c r="S43" s="34" t="s">
        <v>31</v>
      </c>
      <c r="T43" s="35">
        <f>IF(I39=J39,0,1)</f>
        <v>1</v>
      </c>
      <c r="U43" s="48"/>
      <c r="V43" s="48"/>
      <c r="W43" s="48"/>
      <c r="X43" s="49"/>
      <c r="Y43" s="29"/>
      <c r="Z43" s="28"/>
    </row>
    <row r="44" spans="8:28" x14ac:dyDescent="0.2">
      <c r="H44" s="14"/>
      <c r="I44" s="36">
        <f t="shared" ref="I44" si="147">QUOTIENT(SUM(J44,I45:I46),2)</f>
        <v>0</v>
      </c>
      <c r="J44" s="37">
        <f t="shared" ref="J44" si="148">QUOTIENT(SUM(K44,J45:J46),2)</f>
        <v>0</v>
      </c>
      <c r="K44" s="37">
        <f t="shared" ref="K44" si="149">QUOTIENT(SUM(L44,K45:K46),2)</f>
        <v>1</v>
      </c>
      <c r="L44" s="37">
        <f t="shared" ref="L44" si="150">QUOTIENT(SUM(M44,L45:L46),2)</f>
        <v>1</v>
      </c>
      <c r="M44" s="37">
        <f t="shared" ref="M44" si="151">QUOTIENT(SUM(N44,M45:M46),2)</f>
        <v>1</v>
      </c>
      <c r="N44" s="37">
        <f t="shared" ref="N44" si="152">QUOTIENT(SUM(O44,N45:N46),2)</f>
        <v>0</v>
      </c>
      <c r="O44" s="37">
        <f t="shared" ref="O44" si="153">QUOTIENT(SUM(P44,O45:O46),2)</f>
        <v>0</v>
      </c>
      <c r="P44" s="37">
        <f t="shared" ref="P44" si="154">QUOTIENT(SUM(Q44,P45:P46),2)</f>
        <v>0</v>
      </c>
      <c r="Q44" s="37">
        <f t="shared" ref="Q44" si="155">QUOTIENT(SUM(R44,Q45:Q46),2)</f>
        <v>0</v>
      </c>
      <c r="R44" s="37">
        <f t="shared" ref="R44" si="156">QUOTIENT(SUM(S44,R45:R46),2)</f>
        <v>1</v>
      </c>
      <c r="S44" s="37">
        <f t="shared" ref="S44" si="157">QUOTIENT(SUM(T44,S45:S46),2)</f>
        <v>1</v>
      </c>
      <c r="T44" s="37">
        <f t="shared" ref="T44" si="158">QUOTIENT(SUM(U44,T45:T46),2)</f>
        <v>1</v>
      </c>
      <c r="U44" s="37">
        <f t="shared" ref="U44" si="159">QUOTIENT(SUM(V44,U45:U46),2)</f>
        <v>1</v>
      </c>
      <c r="V44" s="37">
        <f t="shared" ref="V44" si="160">QUOTIENT(SUM(W44,V45:V46),2)</f>
        <v>1</v>
      </c>
      <c r="W44" s="37">
        <f>QUOTIENT(SUM(X44,W45:W46),2)</f>
        <v>1</v>
      </c>
      <c r="X44" s="38">
        <f>IF(SUM(X45:X46)=2,1,0)</f>
        <v>1</v>
      </c>
      <c r="Y44" s="28"/>
      <c r="Z44" s="28"/>
    </row>
    <row r="45" spans="8:28" x14ac:dyDescent="0.2">
      <c r="H45" s="14" t="s">
        <v>14</v>
      </c>
      <c r="I45" s="39">
        <f>I4</f>
        <v>0</v>
      </c>
      <c r="J45" s="30">
        <f t="shared" ref="J45:X45" si="161">J4</f>
        <v>0</v>
      </c>
      <c r="K45" s="30">
        <f t="shared" si="161"/>
        <v>0</v>
      </c>
      <c r="L45" s="30">
        <f t="shared" si="161"/>
        <v>0</v>
      </c>
      <c r="M45" s="30">
        <f t="shared" si="161"/>
        <v>1</v>
      </c>
      <c r="N45" s="30">
        <f t="shared" si="161"/>
        <v>0</v>
      </c>
      <c r="O45" s="30">
        <f t="shared" si="161"/>
        <v>0</v>
      </c>
      <c r="P45" s="30">
        <f t="shared" si="161"/>
        <v>0</v>
      </c>
      <c r="Q45" s="30">
        <f t="shared" si="161"/>
        <v>0</v>
      </c>
      <c r="R45" s="30">
        <f t="shared" si="161"/>
        <v>0</v>
      </c>
      <c r="S45" s="30">
        <f t="shared" si="161"/>
        <v>0</v>
      </c>
      <c r="T45" s="30">
        <f t="shared" si="161"/>
        <v>1</v>
      </c>
      <c r="U45" s="30">
        <f t="shared" si="161"/>
        <v>1</v>
      </c>
      <c r="V45" s="30">
        <f t="shared" si="161"/>
        <v>1</v>
      </c>
      <c r="W45" s="30">
        <f t="shared" si="161"/>
        <v>1</v>
      </c>
      <c r="X45" s="40">
        <f t="shared" si="161"/>
        <v>1</v>
      </c>
      <c r="Y45" s="28"/>
      <c r="Z45" s="28">
        <f>F4</f>
        <v>2079</v>
      </c>
    </row>
    <row r="46" spans="8:28" ht="17" thickBot="1" x14ac:dyDescent="0.25">
      <c r="H46" s="14" t="s">
        <v>21</v>
      </c>
      <c r="I46" s="41">
        <f>I11</f>
        <v>1</v>
      </c>
      <c r="J46" s="31">
        <f t="shared" ref="J46:X46" si="162">J11</f>
        <v>0</v>
      </c>
      <c r="K46" s="31">
        <f t="shared" si="162"/>
        <v>1</v>
      </c>
      <c r="L46" s="31">
        <f t="shared" si="162"/>
        <v>1</v>
      </c>
      <c r="M46" s="31">
        <f t="shared" si="162"/>
        <v>1</v>
      </c>
      <c r="N46" s="31">
        <f t="shared" si="162"/>
        <v>1</v>
      </c>
      <c r="O46" s="31">
        <f t="shared" si="162"/>
        <v>1</v>
      </c>
      <c r="P46" s="31">
        <f t="shared" si="162"/>
        <v>0</v>
      </c>
      <c r="Q46" s="31">
        <f t="shared" si="162"/>
        <v>0</v>
      </c>
      <c r="R46" s="31">
        <f t="shared" si="162"/>
        <v>1</v>
      </c>
      <c r="S46" s="31">
        <f t="shared" si="162"/>
        <v>1</v>
      </c>
      <c r="T46" s="31">
        <f t="shared" si="162"/>
        <v>0</v>
      </c>
      <c r="U46" s="31">
        <f t="shared" si="162"/>
        <v>0</v>
      </c>
      <c r="V46" s="31">
        <f t="shared" si="162"/>
        <v>1</v>
      </c>
      <c r="W46" s="31">
        <f t="shared" si="162"/>
        <v>1</v>
      </c>
      <c r="X46" s="42">
        <f t="shared" si="162"/>
        <v>1</v>
      </c>
      <c r="Y46" s="28"/>
      <c r="Z46" s="45">
        <f>F11</f>
        <v>-16793</v>
      </c>
    </row>
    <row r="47" spans="8:28" ht="17" thickBot="1" x14ac:dyDescent="0.25">
      <c r="H47" s="51">
        <f>I44</f>
        <v>0</v>
      </c>
      <c r="I47" s="43">
        <f t="shared" ref="I47" si="163">MOD(SUM(I45:I46,J44),2)</f>
        <v>1</v>
      </c>
      <c r="J47" s="32">
        <f t="shared" ref="J47" si="164">MOD(SUM(J45:J46,K44),2)</f>
        <v>1</v>
      </c>
      <c r="K47" s="32">
        <f t="shared" ref="K47" si="165">MOD(SUM(K45:K46,L44),2)</f>
        <v>0</v>
      </c>
      <c r="L47" s="32">
        <f t="shared" ref="L47" si="166">MOD(SUM(L45:L46,M44),2)</f>
        <v>0</v>
      </c>
      <c r="M47" s="32">
        <f t="shared" ref="M47" si="167">MOD(SUM(M45:M46,N44),2)</f>
        <v>0</v>
      </c>
      <c r="N47" s="32">
        <f t="shared" ref="N47" si="168">MOD(SUM(N45:N46,O44),2)</f>
        <v>1</v>
      </c>
      <c r="O47" s="32">
        <f t="shared" ref="O47" si="169">MOD(SUM(O45:O46,P44),2)</f>
        <v>1</v>
      </c>
      <c r="P47" s="32">
        <f t="shared" ref="P47" si="170">MOD(SUM(P45:P46,Q44),2)</f>
        <v>0</v>
      </c>
      <c r="Q47" s="32">
        <f t="shared" ref="Q47" si="171">MOD(SUM(Q45:Q46,R44),2)</f>
        <v>1</v>
      </c>
      <c r="R47" s="32">
        <f t="shared" ref="R47" si="172">MOD(SUM(R45:R46,S44),2)</f>
        <v>0</v>
      </c>
      <c r="S47" s="32">
        <f t="shared" ref="S47" si="173">MOD(SUM(S45:S46,T44),2)</f>
        <v>0</v>
      </c>
      <c r="T47" s="32">
        <f t="shared" ref="T47" si="174">MOD(SUM(T45:T46,U44),2)</f>
        <v>0</v>
      </c>
      <c r="U47" s="32">
        <f t="shared" ref="U47" si="175">MOD(SUM(U45:U46,V44),2)</f>
        <v>0</v>
      </c>
      <c r="V47" s="32">
        <f t="shared" ref="V47" si="176">MOD(SUM(V45:V46,W44),2)</f>
        <v>1</v>
      </c>
      <c r="W47" s="32">
        <f>MOD(SUM(W45:W46,X44),2)</f>
        <v>1</v>
      </c>
      <c r="X47" s="44">
        <f>MOD(SUM(X45:X46),2)</f>
        <v>0</v>
      </c>
      <c r="Y47" s="29" t="str">
        <f>"="</f>
        <v>=</v>
      </c>
      <c r="Z47" s="28" cm="1">
        <f t="array" ref="Z47">BinToaDec(H47:X47)</f>
        <v>-14714</v>
      </c>
      <c r="AB47" s="52" t="str" cm="1">
        <f t="array" ref="AB47">SetComment(Z45,Z46,Z47,H47)</f>
        <v>Результат корректный.</v>
      </c>
    </row>
    <row r="48" spans="8:28" ht="17" thickBot="1" x14ac:dyDescent="0.25">
      <c r="H48" s="14"/>
      <c r="I48" s="34" t="s">
        <v>26</v>
      </c>
      <c r="J48" s="35">
        <f>I44</f>
        <v>0</v>
      </c>
      <c r="K48" s="34" t="s">
        <v>27</v>
      </c>
      <c r="L48" s="35">
        <f>IF(MOD(SUM(I47:X47),2)=0,1,0)</f>
        <v>0</v>
      </c>
      <c r="M48" s="34" t="s">
        <v>28</v>
      </c>
      <c r="N48" s="35">
        <f>U44</f>
        <v>1</v>
      </c>
      <c r="O48" s="34" t="s">
        <v>29</v>
      </c>
      <c r="P48" s="35">
        <f>IF(SUM(I47:X47)=0,1,0)</f>
        <v>0</v>
      </c>
      <c r="Q48" s="34" t="s">
        <v>30</v>
      </c>
      <c r="R48" s="35">
        <f>I47</f>
        <v>1</v>
      </c>
      <c r="S48" s="34" t="s">
        <v>31</v>
      </c>
      <c r="T48" s="35">
        <f>IF(I44=J44,0,1)</f>
        <v>0</v>
      </c>
      <c r="U48" s="48"/>
      <c r="V48" s="48"/>
      <c r="W48" s="48"/>
      <c r="X48" s="49"/>
      <c r="Y48" s="29"/>
      <c r="Z48" s="28"/>
    </row>
    <row r="49" spans="8:28" x14ac:dyDescent="0.2">
      <c r="H49" s="14"/>
      <c r="I49" s="36">
        <f t="shared" ref="I49" si="177">QUOTIENT(SUM(J49,I50:I51),2)</f>
        <v>1</v>
      </c>
      <c r="J49" s="37">
        <f t="shared" ref="J49" si="178">QUOTIENT(SUM(K49,J50:J51),2)</f>
        <v>1</v>
      </c>
      <c r="K49" s="37">
        <f t="shared" ref="K49" si="179">QUOTIENT(SUM(L49,K50:K51),2)</f>
        <v>0</v>
      </c>
      <c r="L49" s="37">
        <f t="shared" ref="L49" si="180">QUOTIENT(SUM(M49,L50:L51),2)</f>
        <v>0</v>
      </c>
      <c r="M49" s="37">
        <f t="shared" ref="M49" si="181">QUOTIENT(SUM(N49,M50:M51),2)</f>
        <v>1</v>
      </c>
      <c r="N49" s="37">
        <f t="shared" ref="N49" si="182">QUOTIENT(SUM(O49,N50:N51),2)</f>
        <v>1</v>
      </c>
      <c r="O49" s="37">
        <f t="shared" ref="O49" si="183">QUOTIENT(SUM(P49,O50:O51),2)</f>
        <v>1</v>
      </c>
      <c r="P49" s="37">
        <f t="shared" ref="P49" si="184">QUOTIENT(SUM(Q49,P50:P51),2)</f>
        <v>1</v>
      </c>
      <c r="Q49" s="37">
        <f t="shared" ref="Q49" si="185">QUOTIENT(SUM(R49,Q50:Q51),2)</f>
        <v>1</v>
      </c>
      <c r="R49" s="37">
        <f t="shared" ref="R49" si="186">QUOTIENT(SUM(S49,R50:R51),2)</f>
        <v>0</v>
      </c>
      <c r="S49" s="37">
        <f t="shared" ref="S49" si="187">QUOTIENT(SUM(T49,S50:S51),2)</f>
        <v>0</v>
      </c>
      <c r="T49" s="37">
        <f t="shared" ref="T49" si="188">QUOTIENT(SUM(U49,T50:T51),2)</f>
        <v>0</v>
      </c>
      <c r="U49" s="37">
        <f t="shared" ref="U49" si="189">QUOTIENT(SUM(V49,U50:U51),2)</f>
        <v>0</v>
      </c>
      <c r="V49" s="37">
        <f t="shared" ref="V49" si="190">QUOTIENT(SUM(W49,V50:V51),2)</f>
        <v>0</v>
      </c>
      <c r="W49" s="37">
        <f>QUOTIENT(SUM(X49,W50:W51),2)</f>
        <v>0</v>
      </c>
      <c r="X49" s="38">
        <f>IF(SUM(X50:X51)=2,1,0)</f>
        <v>0</v>
      </c>
      <c r="Y49" s="28"/>
      <c r="Z49" s="28"/>
    </row>
    <row r="50" spans="8:28" x14ac:dyDescent="0.2">
      <c r="H50" s="14" t="s">
        <v>23</v>
      </c>
      <c r="I50" s="39">
        <f>I14</f>
        <v>1</v>
      </c>
      <c r="J50" s="30">
        <f t="shared" ref="J50:X50" si="191">J14</f>
        <v>1</v>
      </c>
      <c r="K50" s="30">
        <f t="shared" si="191"/>
        <v>0</v>
      </c>
      <c r="L50" s="30">
        <f t="shared" si="191"/>
        <v>0</v>
      </c>
      <c r="M50" s="30">
        <f t="shared" si="191"/>
        <v>0</v>
      </c>
      <c r="N50" s="30">
        <f t="shared" si="191"/>
        <v>1</v>
      </c>
      <c r="O50" s="30">
        <f t="shared" si="191"/>
        <v>1</v>
      </c>
      <c r="P50" s="30">
        <f t="shared" si="191"/>
        <v>0</v>
      </c>
      <c r="Q50" s="30">
        <f t="shared" si="191"/>
        <v>1</v>
      </c>
      <c r="R50" s="30">
        <f t="shared" si="191"/>
        <v>0</v>
      </c>
      <c r="S50" s="30">
        <f t="shared" si="191"/>
        <v>0</v>
      </c>
      <c r="T50" s="30">
        <f t="shared" si="191"/>
        <v>0</v>
      </c>
      <c r="U50" s="30">
        <f t="shared" si="191"/>
        <v>0</v>
      </c>
      <c r="V50" s="30">
        <f t="shared" si="191"/>
        <v>1</v>
      </c>
      <c r="W50" s="30">
        <f t="shared" si="191"/>
        <v>1</v>
      </c>
      <c r="X50" s="40">
        <f t="shared" si="191"/>
        <v>0</v>
      </c>
      <c r="Y50" s="28"/>
      <c r="Z50" s="28">
        <f>F14</f>
        <v>-14714</v>
      </c>
    </row>
    <row r="51" spans="8:28" ht="17" thickBot="1" x14ac:dyDescent="0.25">
      <c r="H51" s="14" t="s">
        <v>16</v>
      </c>
      <c r="I51" s="41">
        <f>I6</f>
        <v>0</v>
      </c>
      <c r="J51" s="31">
        <f t="shared" ref="J51:X51" si="192">J6</f>
        <v>1</v>
      </c>
      <c r="K51" s="31">
        <f t="shared" si="192"/>
        <v>0</v>
      </c>
      <c r="L51" s="31">
        <f t="shared" si="192"/>
        <v>0</v>
      </c>
      <c r="M51" s="31">
        <f t="shared" si="192"/>
        <v>1</v>
      </c>
      <c r="N51" s="31">
        <f t="shared" si="192"/>
        <v>0</v>
      </c>
      <c r="O51" s="31">
        <f t="shared" si="192"/>
        <v>0</v>
      </c>
      <c r="P51" s="31">
        <f t="shared" si="192"/>
        <v>1</v>
      </c>
      <c r="Q51" s="31">
        <f t="shared" si="192"/>
        <v>1</v>
      </c>
      <c r="R51" s="31">
        <f t="shared" si="192"/>
        <v>0</v>
      </c>
      <c r="S51" s="31">
        <f t="shared" si="192"/>
        <v>1</v>
      </c>
      <c r="T51" s="31">
        <f t="shared" si="192"/>
        <v>1</v>
      </c>
      <c r="U51" s="31">
        <f t="shared" si="192"/>
        <v>1</v>
      </c>
      <c r="V51" s="31">
        <f t="shared" si="192"/>
        <v>0</v>
      </c>
      <c r="W51" s="31">
        <f t="shared" si="192"/>
        <v>0</v>
      </c>
      <c r="X51" s="42">
        <f t="shared" si="192"/>
        <v>0</v>
      </c>
      <c r="Y51" s="28"/>
      <c r="Z51" s="45">
        <f>F6</f>
        <v>18872</v>
      </c>
    </row>
    <row r="52" spans="8:28" ht="17" thickBot="1" x14ac:dyDescent="0.25">
      <c r="H52" s="51">
        <f>I49</f>
        <v>1</v>
      </c>
      <c r="I52" s="43">
        <f t="shared" ref="I52" si="193">MOD(SUM(I50:I51,J49),2)</f>
        <v>0</v>
      </c>
      <c r="J52" s="32">
        <f t="shared" ref="J52" si="194">MOD(SUM(J50:J51,K49),2)</f>
        <v>0</v>
      </c>
      <c r="K52" s="32">
        <f t="shared" ref="K52" si="195">MOD(SUM(K50:K51,L49),2)</f>
        <v>0</v>
      </c>
      <c r="L52" s="32">
        <f t="shared" ref="L52" si="196">MOD(SUM(L50:L51,M49),2)</f>
        <v>1</v>
      </c>
      <c r="M52" s="32">
        <f t="shared" ref="M52" si="197">MOD(SUM(M50:M51,N49),2)</f>
        <v>0</v>
      </c>
      <c r="N52" s="32">
        <f t="shared" ref="N52" si="198">MOD(SUM(N50:N51,O49),2)</f>
        <v>0</v>
      </c>
      <c r="O52" s="32">
        <f t="shared" ref="O52" si="199">MOD(SUM(O50:O51,P49),2)</f>
        <v>0</v>
      </c>
      <c r="P52" s="32">
        <f t="shared" ref="P52" si="200">MOD(SUM(P50:P51,Q49),2)</f>
        <v>0</v>
      </c>
      <c r="Q52" s="32">
        <f t="shared" ref="Q52" si="201">MOD(SUM(Q50:Q51,R49),2)</f>
        <v>0</v>
      </c>
      <c r="R52" s="32">
        <f t="shared" ref="R52" si="202">MOD(SUM(R50:R51,S49),2)</f>
        <v>0</v>
      </c>
      <c r="S52" s="32">
        <f t="shared" ref="S52" si="203">MOD(SUM(S50:S51,T49),2)</f>
        <v>1</v>
      </c>
      <c r="T52" s="32">
        <f t="shared" ref="T52" si="204">MOD(SUM(T50:T51,U49),2)</f>
        <v>1</v>
      </c>
      <c r="U52" s="32">
        <f t="shared" ref="U52" si="205">MOD(SUM(U50:U51,V49),2)</f>
        <v>1</v>
      </c>
      <c r="V52" s="32">
        <f t="shared" ref="V52" si="206">MOD(SUM(V50:V51,W49),2)</f>
        <v>1</v>
      </c>
      <c r="W52" s="32">
        <f>MOD(SUM(W50:W51,X49),2)</f>
        <v>1</v>
      </c>
      <c r="X52" s="44">
        <f>MOD(SUM(X50:X51),2)</f>
        <v>0</v>
      </c>
      <c r="Y52" s="29" t="str">
        <f>"="</f>
        <v>=</v>
      </c>
      <c r="Z52" s="28" cm="1">
        <f t="array" ref="Z52">BinToaDec(H52:X52)</f>
        <v>4158</v>
      </c>
      <c r="AB52" s="52" t="str" cm="1">
        <f t="array" ref="AB52">SetComment(Z50,Z51,Z52,H52)</f>
        <v>Результат корректный. Перенос из старшего разряда не учитывается.</v>
      </c>
    </row>
    <row r="53" spans="8:28" ht="17" thickBot="1" x14ac:dyDescent="0.25">
      <c r="I53" s="34" t="s">
        <v>26</v>
      </c>
      <c r="J53" s="35">
        <f>I49</f>
        <v>1</v>
      </c>
      <c r="K53" s="34" t="s">
        <v>27</v>
      </c>
      <c r="L53" s="35">
        <f>IF(MOD(SUM(I52:X52),2)=0,1,0)</f>
        <v>1</v>
      </c>
      <c r="M53" s="34" t="s">
        <v>28</v>
      </c>
      <c r="N53" s="35">
        <f>U49</f>
        <v>0</v>
      </c>
      <c r="O53" s="34" t="s">
        <v>29</v>
      </c>
      <c r="P53" s="35">
        <f>IF(SUM(I52:X52)=0,1,0)</f>
        <v>0</v>
      </c>
      <c r="Q53" s="34" t="s">
        <v>30</v>
      </c>
      <c r="R53" s="35">
        <f>I52</f>
        <v>0</v>
      </c>
      <c r="S53" s="34" t="s">
        <v>31</v>
      </c>
      <c r="T53" s="35">
        <f>IF(I49=J49,0,1)</f>
        <v>0</v>
      </c>
      <c r="U53" s="45"/>
      <c r="V53" s="45"/>
      <c r="W53" s="46"/>
      <c r="X53" s="47"/>
    </row>
  </sheetData>
  <conditionalFormatting sqref="I4:X7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0" verticalDpi="0"/>
  <headerFooter>
    <oddHeader>&amp;CЦеликов Даниил Александрович Вар. 19 "Лабораторная 5"</oddHeader>
    <oddFooter>&amp;Cвторник, 3 декабря 2024 г. в 9:37 PM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Целиков Даниил Александрович</dc:creator>
  <cp:lastModifiedBy>Целиков Даниил Александрович</cp:lastModifiedBy>
  <dcterms:created xsi:type="dcterms:W3CDTF">2024-11-17T15:55:18Z</dcterms:created>
  <dcterms:modified xsi:type="dcterms:W3CDTF">2024-12-05T05:39:11Z</dcterms:modified>
</cp:coreProperties>
</file>